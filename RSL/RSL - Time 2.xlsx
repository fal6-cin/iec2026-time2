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ted Studies and Answers" sheetId="1" r:id="rId5"/>
    <sheet state="visible" name="SCOPUS" sheetId="2" r:id="rId6"/>
    <sheet state="visible" name="IEEE" sheetId="3" r:id="rId7"/>
    <sheet state="visible" name="ACM" sheetId="4" r:id="rId8"/>
    <sheet state="visible" name="Quality Criteria" sheetId="5" r:id="rId9"/>
  </sheets>
  <definedNames>
    <definedName hidden="1" localSheetId="0" name="_xlnm._FilterDatabase">'Selected Studies and Answers'!$A$1:$U$73</definedName>
    <definedName hidden="1" localSheetId="1" name="_xlnm._FilterDatabase">SCOPUS!$B$1:$B$1091</definedName>
    <definedName hidden="1" localSheetId="2" name="_xlnm._FilterDatabase">IEEE!$C$1:$C$1000</definedName>
    <definedName hidden="1" localSheetId="3" name="_xlnm._FilterDatabase">ACM!$D$1:$D$1005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tc={98f15aec-3e01-48f0-9aeb-18b002d5d590}</author>
    <author>tc={b397bcea-96e0-46d2-801c-1f5b462a5b78}</author>
  </authors>
  <commentList>
    <comment authorId="0" xr:uid="{98f15aec-3e01-48f0-9aeb-18b002d5d590}" ref="D2">
      <text>
        <t xml:space="preserve">[Threaded comment]
 Your version of Excel allows you to read this threaded comment; however, any edits to it will get removed if the file is opened in a newer version of Excel. Learn more: https://go.microsoft.com/fwlink/?linkid=870924
Comment:
	em andamento
</t>
      </text>
    </comment>
    <comment authorId="1" xr:uid="{b397bcea-96e0-46d2-801c-1f5b462a5b78}" ref="D3">
      <text>
        <t xml:space="preserve">[Threaded comment]
 Your version of Excel allows you to read this threaded comment; however, any edits to it will get removed if the file is opened in a newer version of Excel. Learn more: https://go.microsoft.com/fwlink/?linkid=870924
Comment:
	em andamento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tc={35cbff40-7249-40ce-9650-e5588bd8a282}</author>
  </authors>
  <commentList>
    <comment authorId="0" xr:uid="{35cbff40-7249-40ce-9650-e5588bd8a282}" ref="A47">
      <text>
        <t xml:space="preserve">[Threaded comment]
 Your version of Excel allows you to read this threaded comment; however, any edits to it will get removed if the file is opened in a newer version of Excel. Learn more: https://go.microsoft.com/fwlink/?linkid=870924
Comment:
	Esse é bom viu.... Saiu por ser um livro de 165 páginas.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tc={57e7cc99-c973-43ad-ac2e-0185495cb9d9}</author>
    <author>tc={ba638e1a-7b4d-4ea1-bad5-daaf5192eda8}</author>
    <author>tc={ec344192-2210-4189-991f-cf3ec93d3290}</author>
    <author>tc={f190d5e1-ff7a-4fe7-8aca-621514add394}</author>
  </authors>
  <commentList>
    <comment authorId="0" xr:uid="{57e7cc99-c973-43ad-ac2e-0185495cb9d9}" ref="D11">
      <text>
        <t xml:space="preserve">[Threaded comment]
 Your version of Excel allows you to read this threaded comment; however, any edits to it will get removed if the file is opened in a newer version of Excel. Learn more: https://go.microsoft.com/fwlink/?linkid=870924
Comment:
	Estava com duas definições de Dúvida, e avaliei como Inconforme.
</t>
      </text>
    </comment>
    <comment authorId="1" xr:uid="{ba638e1a-7b4d-4ea1-bad5-daaf5192eda8}" ref="D8">
      <text>
        <t xml:space="preserve">[Threaded comment]
 Your version of Excel allows you to read this threaded comment; however, any edits to it will get removed if the file is opened in a newer version of Excel. Learn more: https://go.microsoft.com/fwlink/?linkid=870924
Comment:
	Estava com duas definições de Dúvida, e avaliei como Conforme.
</t>
      </text>
    </comment>
    <comment authorId="2" xr:uid="{ec344192-2210-4189-991f-cf3ec93d3290}" ref="F2">
      <text>
        <t xml:space="preserve">[Threaded comment]
 Your version of Excel allows you to read this threaded comment; however, any edits to it will get removed if the file is opened in a newer version of Excel. Learn more: https://go.microsoft.com/fwlink/?linkid=870924
Comment:
	Pode ser usado como ponto de partida, já que indica pontenciais artigos que atendam.
</t>
      </text>
    </comment>
    <comment authorId="3" xr:uid="{f190d5e1-ff7a-4fe7-8aca-621514add394}" ref="D7">
      <text>
        <t xml:space="preserve">[Threaded comment]
 Your version of Excel allows you to read this threaded comment; however, any edits to it will get removed if the file is opened in a newer version of Excel. Learn more: https://go.microsoft.com/fwlink/?linkid=870924
Comment:
	Estava com duas definições de Dúvida, e avaliei como Conforme.
</t>
      </text>
    </comment>
  </commentList>
</comments>
</file>

<file path=xl/sharedStrings.xml><?xml version="1.0" encoding="utf-8"?>
<sst xmlns="http://schemas.openxmlformats.org/spreadsheetml/2006/main" count="1275" uniqueCount="851">
  <si>
    <t>Nota Q</t>
  </si>
  <si>
    <t>ID</t>
  </si>
  <si>
    <t>Responsável</t>
  </si>
  <si>
    <t>Título</t>
  </si>
  <si>
    <t>Autores</t>
  </si>
  <si>
    <t>Ano de Publicação</t>
  </si>
  <si>
    <t>Estudo</t>
  </si>
  <si>
    <t>Fonte Base</t>
  </si>
  <si>
    <t>Link</t>
  </si>
  <si>
    <t>Pontuação Total</t>
  </si>
  <si>
    <t>Q1 - Qual é o contexto dos estudos analisados em relação aos alunos não oriundos de TI, considerando: (i) nível educacional (graduação/stricto sensu), (ii) área do curso, (iii) tamanho da amostra/turma e (iv) duração das intervenções ou disciplinas?”</t>
  </si>
  <si>
    <t>Q2 - Quais são as principais dificuldades técnicas (ex.: programação, matemática, algoritmos, ferramentas)?</t>
  </si>
  <si>
    <t>Q3 - Quais métodos/abordagens são utilizados para o desenvolvimento de competências técnicas nesses alunos?</t>
  </si>
  <si>
    <t>Q4 - Como essas dificuldades afetam o desempenho acadêmico do público-alvo?</t>
  </si>
  <si>
    <t>Q5 - Quais são os principais desafios encontrados para o desenvolvimento de competências técnicas no público-alvo?</t>
  </si>
  <si>
    <t>PS1</t>
  </si>
  <si>
    <t>Malu</t>
  </si>
  <si>
    <t>Experiences of integrating learning and engagement strategies (LESs) into software engineering courses</t>
  </si>
  <si>
    <t>Clarke P.J.; Thirunarayanan M.; Allala S.C.; Sotomayor J.P.; Ross M.S.</t>
  </si>
  <si>
    <t>Conference paper</t>
  </si>
  <si>
    <t>SCOPUS</t>
  </si>
  <si>
    <t>https://www.scopus.com/inward/record.uri?eid=2-s2.0-85095761044&amp;partnerID=40&amp;md5=11ff7d295be7d395c1f42698884ee4bf</t>
  </si>
  <si>
    <t>Responde Completamente</t>
  </si>
  <si>
    <t>"...for both software engineering and software test-ing undergraduate classes."
"Two software engineering classes at Florida International University (FIU) participated in the study, these classes were SE1 and FST."
"CEN4010 Software Engineering 1 (SE1) 18 4 15 83.3%
CEN4072 Fundamentals of Software Testing (FST) 16 4 11 68.8%"</t>
  </si>
  <si>
    <t>Responde Parcialmente</t>
  </si>
  <si>
    <t>"The technical skills needed for effective software engineering include knowledge of the: software process – requirements, design, validation and evolution; and tools and techniques (a) to model various artifacts in the requirements and design phases, (b) support verification and validation, and (c) maintenance activities post software deployment. The non-technical (soft) skills include effective: communication, team management and participation, and time management, among others."</t>
  </si>
  <si>
    <t>As habilidades técnicas necessárias para uma engenharia de software eficaz incluem o conhecimento do processo de software – requisitos, projeto, validação e evolução; e ferramentas e técnicas (a) para modelar vários artefatos nas fases de requisitos e projeto, (b) para dar suporte à verificação e validação e (c) para atividades de manutenção após a implantação do software. As habilidades não técnicas (comportamentais) incluem comunicação eficaz, gestão e participação em equipe e gestão do tempo, entre outras.</t>
  </si>
  <si>
    <t>"The LESs use in our pedagogical approach include: collaborative learning, gamification, problem-based learning, and social interaction. Our approach is guided by the LES Integration Model (LESIM) and supported by SEP-CyLE..."</t>
  </si>
  <si>
    <t>"Preliminary studies have indicated an improvement in student learning when there is an increase of class time dedicated to LESs and a reduction in time for the traditional lecture style of teaching. This improvement is reflected in the midterm examination results..."</t>
  </si>
  <si>
    <t>"Students do not tend to prepare for class by reading the assigned class material, be it notes from the previous classes or other assigned readings. However, if an approach to solving"
"Some students find it embarrassing when they do not know the answers to questions and this can deter their participation."</t>
  </si>
  <si>
    <t>PS2</t>
  </si>
  <si>
    <t>Artificial intelligence in business curriculum: The pedagogy and learning outcomes</t>
  </si>
  <si>
    <t>Xu J.J.; Babaian T.</t>
  </si>
  <si>
    <t>https://www.scopus.com/inward/record.uri?eid=2-s2.0-85113599492&amp;doi=10.1016%2Fj.ijme.2021.100550&amp;partnerID=40&amp;md5=397c2d02e898c14cc513c57d713905df</t>
  </si>
  <si>
    <t xml:space="preserve">"...graduate-level, introductory AI course at a business university in the northeastern United States."
"In this section, we present the curriculum content, teaching methods, and learning outcome assessment in an introductory AI course offered at a northeastern business university in the United States. This course is a three-credit, graduate-level course designed for a regular 15-week semester. The class meets for 160 min once a week. All master students in business majors, including Master of Business Administration (MBA), Master of Science (MS) in information technology (MSIT), business analytics (MSBA), finance (MSF), and accounting (MSA), can take this course as an elective to fulfill their degree requirements."
</t>
  </si>
  <si>
    <t>"...most students still found mathematical and technical contents, such as differentiation and matrix operations, intimidating"
"I think online courses cannot provide interactions between students and the lecturer especially for some confusing topics such as neural networks. Another thing is that online courses cannot provide us with exercises that are clearly explained and some instructions about how we should build a model from scratch and improve it."</t>
  </si>
  <si>
    <t>"...a maioria dos alunos ainda considerava os conteúdos matemáticos e técnicos, como diferenciação e operações com matrizes, intimidantes."
"Acho que os cursos online não conseguem proporcionar interação entre alunos e professor, especialmente em tópicos complexos como redes neurais. Além disso, os cursos online não oferecem exercícios com explicações claras e instruções sobre como construir e aprimorar um modelo do zero."</t>
  </si>
  <si>
    <t>"To overcome the lack of strong programming skills, we prepare the students for each programming assignment by providing sample programs, which they can study and use as a starting point. Students then implement additional functions and modules to fulfill the assignment requirements. For example, for the fourth assignment (multilayer neural networks), students are given a sample program that implements a perceptron with only a single layer. Students extend this program by implementing forward and backward prop-agation through multiple layers."
"Students are given five homework assignments in this course. These assignments are designed to help students grasp the course material. Through programming, students are able to focus on important details and acquire a deeper understanding of the AI tech-niques they study. For example, by implementing the feed forward and back propagation, as well as the gradient descent algorithms, students get to comprehend how this process is carried out inside of a neural network. Some of the assignments leverage popular Python libraries (e.g., scikit-learn and keras). With the hands-on experience using these libraries obtained in this course, students will be able to develop machine learning and data analytics solutions in their future work."</t>
  </si>
  <si>
    <t>"the time spent per week was negatively correlated with the cognitive and skill-based learning outcomes, but positively correlated with satisfaction."
"Students with no computing background can successfully acquire AI competence and skills . We have learned that students do not necessarily have to have a strong technical background, comparable to that of computer science and engineering students, to learn how to use AI methods."</t>
  </si>
  <si>
    <t>"One of the challenges that business schools face, when considering offering AI related courses, is the task of curriculum development (Stine et al., 2019) due to the lack of pedagogical resources such as model curricula and textbooks. Our review of AI-related textbooks offered by major textbook publishers (e.g., Pearson, McGraw-Hill) shows that most of them are written for technical audiences and those few that target business audiences typically present only a high-level view of AI technologies."
"Another open question in curriculum development is the selection of effective teaching methods. In particular, it remains unclear if programming assignments should be required for AI courses targeting business students."</t>
  </si>
  <si>
    <t>PS3</t>
  </si>
  <si>
    <t>Danilo</t>
  </si>
  <si>
    <t>Interdisciplinary Computing Education: An Introductory Programming and Data Science Course for Postdoctoral Researchers in the Biosciences</t>
  </si>
  <si>
    <t>A. Barman; L. S. Beckman; Y. Chebaro</t>
  </si>
  <si>
    <t>IEEE Conferences</t>
  </si>
  <si>
    <t>IEEE</t>
  </si>
  <si>
    <t>https://ieeexplore.ieee.org/stamp/stamp.jsp?arnumber=9962737</t>
  </si>
  <si>
    <t>Nível educacional: Trecho original: "...introductory course in programming and data science for postdoctoral researchers (PDRs) in the biosciences"
Área do curso: Biociências (Biologia e Medicina). Trecho original: "...for PDRs in biology and medicine"
Tamanho da amostra/turma: Trecho original: "There were 55 responses to these survey questions over 3 semesters"
Duração: Trecho original: "...offered as a part of a postdoctoral certificate training program that a PDR can undertake over several semesters"
. "The course had one hour of lecture every week and flexible out-of-class contact time with the instructor"</t>
  </si>
  <si>
    <t>"...they often cannot efficiently analyze the large dataset results that are obtained due to a lack of training in coding and data science"
"Difficulty in learning programming"
"...several PDRs needed help in installing and setting up the needed software on their laptops"
"In general, they needed help in translating their research questions or queries into appropriate data science questions that could be solved using the methods and algorithms discussed in the class"</t>
  </si>
  <si>
    <t>"...muitas vezes, eles não conseguem analisar de forma eficiente os resultados de grandes conjuntos de dados obtidos devido à falta de treinamento em programação e ciência de dados."
"Dificuldade em aprender programação."
"...vários alunos de pós-graduação precisaram de ajuda para instalar e configurar o software necessário em seus laptops."
"De modo geral, eles precisaram de ajuda para traduzir suas perguntas ou dúvidas de pesquisa em questões de ciência de dados apropriadas que pudessem ser resolvidas usando os métodos e algoritmos discutidos em aula."</t>
  </si>
  <si>
    <t>"...we also leverage several evidence-based active learning methodologies, including collaborative learning
,... team-based learning,... , and peer-to-peer learning"
 "...in-class sessions included several exercises that implemented strategies for enhancing critical thinking skills in computing, such as pair programming
– and think-pair-share sessions"
"...engage the enrolled PDRs in experiential learning by solving problems using datasets from their own research"
"For the final project, the team members were asked to frame data science questions using data from their own research"</t>
  </si>
  <si>
    <t>"While wet-lab scientists and clinicians are able to obtain the physical genetic materials used in these analyses, they often cannot efficiently analyze the large dataset results that are obtained due to a lack of training in coding and data science"
"A large pool of talented researchers in various non-computing research domains are often held back from achieving their full scientific potential due to a lack of training in computing and data science"</t>
  </si>
  <si>
    <t xml:space="preserve">"Further, the overwhelming challenge in developing curricula for PDRs is to keep the time constraint in mind – most PDRs will not be able to take a rigorous course in the traditional style with the conventional assessment and evaluation mechanisms"
 "It is widely known in the PDR community that time is scarce and any time spent outside the laboratory during a work schedule is a challenge"
"...the knowledge and expertise of coding and data science algorithms are often gained through a patchwork of informal tutorials and workshops rather than through a structured and well-designed curriculum that is tailor-made with the needs of these researchers in mind"
</t>
  </si>
  <si>
    <t>PS4</t>
  </si>
  <si>
    <t>Cayo</t>
  </si>
  <si>
    <t>Preparing First-Year Engineering Students to Think About Code: A Guided Inquiry Approach</t>
  </si>
  <si>
    <t>B. Bettin; M. Jarvie-Eggart; K. S. Steelman; C. Wallace</t>
  </si>
  <si>
    <t>IEEE Journals</t>
  </si>
  <si>
    <t>https://ieeexplore.ieee.org/stamp/stamp.jsp?arnumber=9682432</t>
  </si>
  <si>
    <t>"In a recent study of first-year engineering students, previous
work found that confusion about “the way programs are con
structed” was negatively correlated with confidence, interest,
intellectual openness, and the intention to take future pro
gramming classes ["
"Both activities were delivered in three separate sections
of ENG1101. Each section had 100 students, split into five
groups"</t>
  </si>
  <si>
    <t>" Yet engineering stu
dents often resist the notion that computer programming is a
skill relevant to their future profession. "
"As von Lockette observes, engineering students new to pro
gramming struggle with the organization of operations in
programming, and students who cannot verbally explain the
necessary operations of programs generate inoperable or less
efficient code [12]"
"With little formal
training in CS, engineering educators may not always employ
best practices from programming education, and they may not
have sophisticated mental models of programming concepts
to assist engineering students in thinking beyond the use of
MATLAB as a tool."
"They suggested that
while novices may be able to write “sophisticated programs,”
they did not understand beyond “surface code,” where experts
had abstracted mental models of more general concepts [28]"
" Kurland et al. [28] also noted that both students
with and without prior programming experience struggled with
transfer-related tasks in their study design."</t>
  </si>
  <si>
    <t>"No entanto, estudantes de engenharia frequentemente resistem à noção de que programação de computadores seja uma habilidade relevante para sua futura profissão.
Como observa von Lockette, estudantes de engenharia iniciantes em programação têm dificuldades com a organização das operações em programação, e estudantes que não conseguem explicar verbalmente as operações necessárias dos programas geram código inoperável ou menos eficiente [12]."
Com pouca formação formal em Ciência da Computação, educadores de engenharia podem nem sempre empregar as melhores práticas do ensino de programação, e podem não ter modelos mentais sofisticados de conceitos de programação para auxiliar os estudantes de engenharia a pensar além do uso do MATLAB como ferramenta.
Eles sugeriram que, embora os novatos possam ser capazes de escrever "programas sofisticados", eles não entendiam além do "código superficial", onde especialistas haviam abstraído modelos mentais de conceitos mais gerais [28].
Kurland et al. [28] também observaram que tanto estudantes com quanto sem experiência prévia em programação tiveram dificuldades com tarefas relacionadas à transferência de conhecimento em seu projeto de estudo.</t>
  </si>
  <si>
    <t xml:space="preserve">" The guided inquiry process constitutes a structured process to
problem solving, which has a record of success in CS educa
tion, most notably with the Process-Oriented Guided Inquiry
Learning (POGIL) framework [29]–[31]. Novice programmers
have been shown to naturally think in a series of steps [32]
which the POGIL framework further develops"
" The
guided inquiry process constitutes a structured process to
problem solving, which has a record of success in CS educa
tion, most notably with the Process-Oriented Guided Inquiry
Learning (POGIL) framework [29]–[31]. Novice programmers
have been shown to naturally think in a series of steps [32]
which the POGIL framework further develops."
</t>
  </si>
  <si>
    <t>"They report that “the hands-on applications
provided a framework on which to build an understanding of
the programming constructs.” Lumpp et al. [24] emphasized
that situated programming work in their course helps “dis
pel the myth that ‘I won’t need to know any programming’
in majors other than CS, electrical engineering or computer
engineering.”
"gnments might help
reveal an understandable structure to them. Results showed that
students in the intervention group scored nearly a full letter
grade higher on the unit’s final programming assessment than
those in the control condition."</t>
  </si>
  <si>
    <t>"They suggested that
while novices may be able to write “sophisticated programs,”
they did not understand beyond “surface code,” where experts
had abstracted mental models of more general concepts [28]."
"With little formal
training in CS, engineering educators may not always employ
best practices from programming education, and they may not
have sophisticated mental models of programming concepts
to assist engineering students in thinking beyond the use of
MATLAB as a tool."
". They suggested that
while novices may be able to write “sophisticated programs,”
they did not understand beyond “surface code,”"
"Fangohr identifies “the primary
target in teaching computing” to first-year engineering students
as “convert[ing] engineering problems into pseudo-code,” “a
challenging task that requires analytical thinking and cre
ativity” as opposed to “the conversion of this pseudo-code
into a program written in one programming language” [11]."</t>
  </si>
  <si>
    <t>PS5</t>
  </si>
  <si>
    <t>Interdisciplinary CS1 Course for Non-Majors: The Case of Graduate Psychology Students</t>
  </si>
  <si>
    <t>K. Mike; O. Hazzan</t>
  </si>
  <si>
    <t>https://ieeexplore.ieee.org/stamp/stamp.jsp?arnumber=9766516</t>
  </si>
  <si>
    <t xml:space="preserve">" Specifically, graduate psychology
students who wish to learn data science have already mastered the
psychology domain knowledge and their statistics background is
advanced. "
" They lack, however, the computer science knowledge
required for meaningfully handling data science."
"The problem is,
however, that there is no CS1 course that fits graduate psychology
students who study data science: On the one hand, the current
CS1 courses do not suit social science students; on the other hand,
CS1courses for non-majors usually do not meet the required level
of computer science needed for data science."
"Accordingly, to close this gap, we designed a new CS1 course– an interdisciplinary Introduction to Computer Science for
Psychological Science course– that a) suits social science students
and b) meets the required computer science level for data
science."
"Data for this study were collected from students’ learning
outcomes, reflections, and questionnaires. The data analysis,
conducted according to the self-determination theory revealed that the interdisciplinary design of the course supports
student learning and achievements."
"The research participants were 32 students (20 women and
12 men) who attended the Computer Science for Psychological
Science course (the first course in the specialization) during
the Fall 2020 semester. "
"The specialization was divided into two separate courses,
each designed as a 52-hour semester course (4 weekly hours):
Introduction to Computer Science for Psychological Science
and Introduction to Data Science for Psychological Science."
</t>
  </si>
  <si>
    <t>" ...They lack, however, the computer science knowledge
required for meaningfully handling data science. "
"... current
CS1 courses do not suit social science students; on the other hand,
CS1courses for non-majors usually do not meet the required level
of computer science needed for data science."
" ...or CS1 courses for non-majors
[10] aim to expose students to programming and to the essence
of computer science; these courses do not expect students to
master programming at a high level."</t>
  </si>
  <si>
    <t>"...No entanto, eles carecem do conhecimento de ciência da computação necessário para lidar de forma significativa com a ciência de dados.
"...Os cursos CS1 atuais não são adequados para estudantes de ciências sociais; por outro lado, os cursos CS1 para não-especialistas geralmente não atendem ao nível de ciência da computação exigido para a ciência de dados."
"...ou os cursos CS1 para não-especialistas [10] visam apresentar aos alunos a programação e a essência da ciência da computação; esses cursos não esperam que os alunos dominem a programação em um nível avançado."</t>
  </si>
  <si>
    <t>"Accordingly, to close this gap, we designed a new CS1 course– an interdisciplinary Introduction to Computer Science for
Psychological Science course..."
" It is an interdisciplinary field that integrates knowledge and methods
from computer science, mathematics, and statistics, as well as
the domain knowledge of the data (see Figure 1)."
"Data for this study were collected from students’ learning
outcomes, reflections, and questionnaires."</t>
  </si>
  <si>
    <t>"They still, however, must acquire the required level
of computer science knowledge and skills but may find the
learning process of these contents quite challenging."
" They lack, however, the computer science knowledge
required for meaningfully handling data science. "</t>
  </si>
  <si>
    <t>" there is no CS1 course that fits graduate psychology
students who study data science: On the one hand, the current
CS1 courses do not suit social science students; on the other hand,
CS1courses for non-majors usually do not meet the required level
of computer science needed for data science."
"On the one hand, the current
CS1 courses do not suit social science students; on the other hand,
CS1courses for non-majors usually do not meet the required level
of computer science needed for data science."
"CS1 courses for non-majors[10] aim to expose students to programming and to the essence
of computer science; these courses do not expect students to
master programming at a high level."
" It may be challenging to develop an interdisciplinary
course, as an interdisciplinary staff is required [17]. "</t>
  </si>
  <si>
    <t>PS6</t>
  </si>
  <si>
    <t>Scaffolding Expertise: Evaluating Scaffolds for Block-Based Coding Among Experts and Novices</t>
  </si>
  <si>
    <t>Yifan Zhang and Teomara Rutherford</t>
  </si>
  <si>
    <t>Research-Article</t>
  </si>
  <si>
    <t>ACM</t>
  </si>
  <si>
    <t>https://doi.org/10.1145/3700297.3700345</t>
  </si>
  <si>
    <t>Nível educacional: Trecho original: "...upper-division undergraduate CS/engineering (expert, n=106) and social science (novice, n=115) majors..."
Área do curso: Trecho original: "...115 students in other majors (e.g., psychology, education, and humanities) as novices"
Tamanho da amostra/turma: Trecho original: "...social science (novice, n=115) majors..."
Duração: Trecho original: "The experiment lasted for 1 hour and stopped immediately regardless of whether the participants finished all tasks or not"</t>
  </si>
  <si>
    <t>"In contrast, novices often rely on trial and error, displaying superficial problem interpretation and difficulty in utilizing abstract concepts effectively"
"...when learners lack prior domain-specific knowledge (i.e., NRAT in our context), they face difficulties when solving well-structured problems"</t>
  </si>
  <si>
    <t>Em contraste, os iniciantes muitas vezes recorrem à tentativa e erro, demonstrando uma interpretação superficial dos problemas e dificuldade em utilizar conceitos abstratos de forma eficaz.
Quando os aprendizes não possuem conhecimento prévio específico da área (ou seja, NRAT em nosso contexto), eles enfrentam dificuldades ao resolver problemas bem estruturados.</t>
  </si>
  <si>
    <t>"...block-based programming environment, which removes syntax errors and focuses learners on logical thinking and problem-solving"
"Our environment incorporated scaffolds, such as marking critical features and providing prior practice opportunities, aiming to guide learners’ focus and facilitate skill transfer"
"...being told to use fewer codes or by priming with critical features"</t>
  </si>
  <si>
    <t>Não responde</t>
  </si>
  <si>
    <t>O estudo mensura exclusivamente o desempenho técnico dos alunos dentro do experimento controlado de 1 hora do jogo Fox and Field (por exemplo, se usaram caminhos mais eficientes ou se caíram em distrações)
O artigo não avalia, discute ou monitora como essas dificuldades afetam a vida ou o desempenho acadêmico geral (notas da faculdade, progressão de curso, evasão) desses estudantes de Ciências Sociais.</t>
  </si>
  <si>
    <t>"...novice were largely unsuccessful at recognizing the value of scaffolding while experts succeeded"
"...the efficiency instruction only suggests learners use as few code as possible, yet does not help them how to do so"
"Both experts and novices were equally likely to be swayed by purposefully distracting features within the platform, such as a drawn path to deflect them from the most efficient solution"</t>
  </si>
  <si>
    <t>PS7</t>
  </si>
  <si>
    <t>Felipe</t>
  </si>
  <si>
    <t>“A River of Tears Is a Valid Answer?”: Social Science Graduate Students’ Experiences Learning Programming for Research</t>
  </si>
  <si>
    <t>Alexis Tarter, Moyan Zhou, Svetlana Yarosh, and David DeLiema.</t>
  </si>
  <si>
    <t>https://doi.org/10.1145/3769994.3770023</t>
  </si>
  <si>
    <t>"Seventeen graduate students from the social sciences participated in semi-structured interviews focused on how they acquire programming skills, the barriers they face, and the resources they wish they could access.'' 
"All participants included in the study represent the social sciences with extensive representation in fields of psychology. The specificity of participants within the social sciences is both expected and justified as quantitative research using large datasets and robust data analysis has become highly prevalent within the social sciences [27] and relies on strong programming knowledge. Participants were recruited across all graduate levels to capture students most likely working on their own research projects. While some undergraduate students may be working on research projects, they are often closely supervised whereas graduate students are train- ing to become independent researchers themselves. The narrow breadth and scope of our participants has limitations which are further articulated in our discussion."</t>
  </si>
  <si>
    <t>"Figure 1: Results of how participants report learning to program, how participants describe barriers, and resources participants wish they could access. Underlying value clusters are highlighted in blue, green, and purple: Lack of time; Lack of awareness; Lack of Access; Lack of Clarity; Fragility of Code; Isolation from Others"
"The accessibility of online resources was not as highly regarded. While participants acknowledged the vast amount of information available on the internet, participants also critiqued the challenge of finding the correct information. 'Well, the online resources, I mean there are a bunch of those. But when it comes to R, again the interpretation of those codings. It's so complicated. And they're like so much, so many.' - P5. Participants may have a wide array of information at their finger- tips, but still report limited confidence and literacy when choosing the correct resource." 
"Once, I really actually understood, like, how to do loops, I was like, oh, okay, still not the cleanest, best [code] ever right?...But they work for me.' - P13 Frustration was expressed when resources or instructions led to errors, especially when the process suggested by local experts was followed but did not end in the same result. 'Sometimes, even though I write the same data as my professor in R, I receive errors. I cannot proceed from that. My professor's notes keep going, keep going and I [am] actually stuck at that one point.' - P5"
"4.2.3 Trustworthiness. Though participants prioritized code that ran successfully, they were well aware of the limitations of their own and other's code. While more experienced participants acknowledged they could often get their code to run, they desired to produce and receive code that could be trustworthy - characterized as clean, efficient, and publishable code. They also felt frustration when their code was 'very, very gross and hacky' (P18). Participants, especially those in data science positions or near the end of their program, were aware of the expectations of 'clean' code in academia and industry and wished for support in maintaining that level of writing."</t>
  </si>
  <si>
    <t>"Figura 1: Resultados de como os participantes relatam o aprendizado de programação, como descrevem as barreiras e os recursos aos quais gostariam de ter acesso. Os principais agrupamentos de valores estão destacados em azul, verde e roxo: Falta de tempo; Falta de conhecimento; Falta de acesso; Falta de clareza; Fragilidade do código; Isolamento dos outros."
"A acessibilidade dos recursos online não foi tão bem avaliada. Embora os participantes reconhecessem a vasta quantidade de informações disponíveis na internet, também criticaram a dificuldade de encontrar as informações corretas. 'Bem, os recursos online... quero dizer, existem muitos. Mas quando se trata de R, novamente, a interpretação desses códigos... É tão complicado. E são tantos, tantos.'" - P5. Os participantes podem ter uma ampla gama de informações à sua disposição, mas ainda relatam confiança e conhecimento limitados ao escolher o recurso correto.
"Uma vez, eu realmente entendi como fazer loops e pensei: 'Ah, ok, ainda não é o código mais limpo e perfeito, né?... Mas funciona para mim.' - P13 A frustração foi expressa quando os recursos ou instruções levaram a erros, especialmente quando o processo sugerido por especialistas locais foi seguido, mas não resultou no mesmo resultado. 'Às vezes, mesmo escrevendo os mesmos dados que meu professor em R, recebo erros. Não consigo prosseguir. As anotações do meu professor continuam, continuam e eu fico travado nesse ponto.' - P5""
""4.2.3 Confiabilidade. Embora os participantes priorizassem códigos que funcionassem corretamente, eles estavam bem cientes das limitações de seus próprios códigos e dos códigos de outros. Enquanto os participantes mais experientes reconheciam que frequentemente conseguiam fazer seus códigos funcionarem, eles desejavam produzir e receber códigos que pudessem ser considerados confiáveis ​​– caracterizados como código limpo, eficiente e publicável. Eles também sentiam frustração quando seus códigos eram "muito, muito grosseiros e improvisados" (P18). Os participantes, especialmente aqueles em cargos de ciência de dados ou perto da conclusão de seus programas, estavam cientes das expectativas de código "limpo" na academia e na indústria e desejavam apoio para manter esse nível de escrita."""</t>
  </si>
  <si>
    <t>"Throughout the semi-structured interviews, we also found par- ticipants used a variety of resources and strategies including search- ing on google, online databases, and community forums (e.g. Stack Overflow); referencing books; utilizing ChatGPT; exchanging code with others; programming with others in a group; asking local experts and peers for help; and enrolling in university courses, workshops, and online tutorials. Participants also reported facing multiple barriers to learning including lack of time to engage with resources, lack of awareness of existing resources, a lack of clar- ity within the classroom and from leadership, inability to access workable hardware or software, fragile and abandoned code from others, and isolation from peers and experts. In order to enhance their learning, participants wished they could access a more systematic approach to learn programming for research; an earlier and more in depth introduction to programming; intermediate courses and resources focused on current data trends; community learning opportunities; highly specialized resources; self-paced and remote learning options; deeper peer connections; clearer guidance on AI tools for programming; and further learning in Python, Javascript, SQL, and supercomputing."</t>
  </si>
  <si>
    <t>"However, for novice learners outside of computer science programs, the experience of learning to program can elicit 'a river of tears,' as a graduate student provocatively reported in our recent interview study."
"'Once, I really actually understood, like, how to do loops, I was like, oh, okay, still not the cleanest, best [code] ever right?...But they work for me.' - P13. Frustration was expressed when resources or instructions led to errors, especially when the process suggested by local experts was followed but did not end in the same result. 'Sometimes, even though I write the same data as my professor in R, I receive errors. I cannot proceed from that. My professor’s notes keep going, keep going and I [am] actually stuck at that one point.' - P5"
"4.3 Connection. Connection refers to the ability to build relationships with other peers and experts. Building relationships allows students to share their experiences, problems, and needs as learners. Participants emphasized two main sources of connection: with peers through camaraderie and with experts through guidance. 4.3.1 Camaraderie. Camaraderie describes the ability of peers to relate to participants' experiences. Needing emotional connection and validation from others, participants often celebrated the con- nections they made with peers or emotionally spoke of the isolation they felt without support."</t>
  </si>
  <si>
    <t>PS8</t>
  </si>
  <si>
    <t>Applying the Model of Interest Development to Understand Why Non-CS Majors Decide to Persist in or Leave Computing</t>
  </si>
  <si>
    <t>Jinyoung Hur, Michael M. Kang, Junmee Park, and Kathryn Cunningham</t>
  </si>
  <si>
    <t>https://doi.org/10.1145/3769994.3770038</t>
  </si>
  <si>
    <t>(i) Nível educacional e (ii) Área do curso: "We recruited non-CS major students who had enrolled in at least one course offered by the Computer Science department at a North American public research university."  e "Table 1: Participant characteristics... Major: Accountancy, Chemical Engineering, Civil Engineering, Statistics, Mathematics, Physics, Undeclared, Music... Information Science, Mechanical Engineering". (O texto também menciona o contexto de graduação: "in the latter half of their undergraduate studies").
(iii) Tamanho da amostra: "In total, 19 students participated in the study (see Table 1).".
(iv) Duração da coleta: "We conducted semi-structured interviews remotely via video conferencing. Each interview lasted between 40 and 60 minutes."</t>
  </si>
  <si>
    <t>"Struggling without adequate support can lead to a loss of interest in computing. Struggling was a common theme among many students who did not maintain their interest in computing. While challenges often stemmed from the difficulty and workload of course content, they were frequently exacerbated by the lack of accessible support within CS courses (P1, P2, P11, P14, P15, P16)."
"Various studies of end-user programmers and conversational programmers suggest that they have different values for various aspects of computing compared to CS majors. Studies involving end-user programmers [12] and conversational programmers [57] found they do not value learning of low-level programming knowledge, such as syntax, describing such content as irrelevant to their more conceptual and application-focused learning goals. Similar preferences were observed among non-CS majors in computing courses [24]. Also, conversational and end-user programmers favor computing knowledge that aligns closely with their primary domain. Studies have found that end-user programmers most valued computing knowledge that was relevant to their task at hand [13, 33]."</t>
  </si>
  <si>
    <t>"A dificuldade sem o apoio adequado pode levar à perda de interesse em computação. Essa dificuldade foi um tema comum entre muitos alunos que não mantiveram o interesse pela área. Embora os desafios frequentemente decorriam da complexidade e da carga de trabalho do conteúdo do curso, eles eram frequentemente exacerbados pela falta de suporte acessível nos cursos de Ciência da Computação (P1, P2, P11, P14, P15, P16)."
"Diversos estudos com programadores usuários finais e programadores conversacionais sugerem que eles têm valores diferentes para vários aspectos da computação em comparação com os alunos de Ciência da Computação. Estudos envolvendo programadores usuários finais [12] e programadores conversacionais [57] descobriram que eles não valorizam o aprendizado de conhecimentos de programação de baixo nível, como sintaxe, descrevendo esse conteúdo como irrelevante para seus objetivos de aprendizado mais conceituais e focados em aplicações. Preferências semelhantes foram observadas entre alunos de outras áreas em cursos de computação [24]. Além disso, programadores conversacionais e usuários finais priorizam o conhecimento de computação que se alinha estreitamente com seu domínio principal. Estudos descobriram que os programadores usuários finais valorizam mais o conhecimento de computação que é relevante para a tarefa em questão." [13, 33]."""</t>
  </si>
  <si>
    <t>"A common approach in these redesigned courses has been contextualization or integrating computing into disciplinary contexts, with the goal of making computing more relevant. One notable example is the Media Computation (MediaComp) curriculum, which uses the context of image and sound manipulation to engage students in programming tasks that yield immediately tangible results [17]. MediaComp was intentionally built around an application context that students from multiple fields could find meaningful. Another example is the BioComp course, which teaches programming in the context of biology, helping undergraduate biology majors acquire computing skills relevant to their domain [38]."
"Other characteristics of courses for non-CS majors are highly scaffolded programming environments and more manageable workloads. For instance, the Beauty and Joy of Computing (BJC) curriculum uses Snap!, a block-based language [16], while MediaComp employs JES, a simplified Python IDE with built-in media functions [17]. While such tools do not reflect the day-to-day programming practices of real-world end-user developers [22], they serve an important pedagogical function by allowing students to focus on logic, structure, and creativity without being overwhelmed by syntax. In an effort to lower the barrier to entry for non-CS majors, CS 0.5 courses were designed to cover fewer learning outcomes than CS-major courses, with material delivered at a slower pace [10]."</t>
  </si>
  <si>
    <t>"P3 perceived a gap between his own capabilities and those of CS majors: “I feel like there’s a large leap...a lot of the people I know in deep CS have kind of been doing it their whole lives.” His low self-efficacy was reinforced by limited hands-on experience in his introductory computing course, where he recalled writing “20 lines [of code] at most,” compared to the “massive pages and huge projects of code” he associated with CS. P16 similarly did not take more CS courses, partly due to anticipated failure or belief that “it would negatively impact my GPA.” External perceptions of credibility also influenced students’ expectations of success, especially in the context of career prospects. P17 expressed concern over employer bias against non-CS majors in traditional CS roles: “when [companies] see that I’m applying to CS roles like as a non-CS major. They don’t really like that and my application will get auto rejected.” This perceived lack of credibility reduced her confidence in pursuing a career in software engineering and discouraged her from learning more in that domain."
"2.2.1 Sense of belonging and self-efficacy. One indicator of persistence is the affective experiences of students in computing. These factors, namely sense of belonging and self-efficacy, shape students' perception of their abilities and fit in computing and ultimately influence their academic and professional trajectories. Although sense of belonging began to gain attention relatively recently in post-secondary education [55], its concepts and implications have long been recognized as a research interest in computing education. Empirical studies have consistently demonstrated the link between low sense of belonging to negative outcomes, namely lower academic performance and satisfaction [35], and overall persistence [52]."
"6.4 Expectation of Success 6.4.1 Self-efficacy drives non-CS majors' decisions to re-engage with computing. Students' expectations of success in learning comput- ing and pursuing CS careers, especially relative to CS majors, were critical in their decisions to continue with the field (P3, P6, P9, P16, P17). P3 perceived a gap between his own capabilities and those of CS majors: "I feel like there's a large leap...a lot of the people I know in deep CS have kind of been doing it their whole lives." His low self-efficacy was reinforced by limited hands-on experience in his introductory computing course, where he recalled writing "20 lines [of code] at most," compared to the "massive pages and huge projects of code" he associated with CS. P16 similarly did not take more CS courses, partly due to anticipated failure or belief that "it would negatively impact my GPA." External perceptions of credibility also influenced students' expectations of success, especially in the context of career prospects. P17 expressed concern over employer bias against non-CS majors in traditional CS roles: "when [companies] see that I'm applying to CS roles like as a non-CS major. They don't really like that and my application will get auto rejected." This perceived lack of credibility reduced her confidence in pursuing a career in software engineering and discouraged her from learning more in that domain. By contrast, P6 described high self-efficacy grounded in disciplinary overlap. He explained how this background helped him "like that course a lot" and feel "interest[ed]" in further engage- ment: "A lot of people find [the first theory course] quite difficult, but I didn't find it the most difficult since I have a math background." These examples illustrate when students anticipate low expectation of success, whether due to limited prior experience, comparisons to peers, or systemic barriers, they are more likely to disengage. Conversely, experiences that affirm readiness or align with prior knowledge can strengthen self-efficacy and interest in computing."</t>
  </si>
  <si>
    <t>"6.2 Supportive CS Learning Environment 6.2.1 Struggling without adequate support can lead to a loss of interest in computing. Struggling was a common theme among many students who did not maintain their interest in computing. While challenges often stemmed from the difficulty and workload of course content, they were frequently exacerbated by the lack of accessible support within CS courses (P1, P2, P11, P14, P15, P16). One common source of struggle was the lack of meaningful interaction with instructors and course staff, often due to large course sizes and the absence of in-person components. P14, whose "interest in taking any CS course plummeted to zero," felt that CS courses would be much more helpful if not held in a "big lecture hall" but in "smaller learning environments" that "promote people to ask more questions." Similarly, P2 contrasted a data science course she "really liked" for its "feedback" and "in-person" elements with a negative CS1 experience that led her to lose interest in CS domain: "[CS1] was not in-person. You didn't have an in-person lab. It was just very lonely if you didn't know what you were doing." Her only option was to attend "online office hours" that disliked because "you just wait there until someone else finishes their problem" and emphasized the need for "more in-person, like teachings or anything.""
"One common perception was that CS work is solitary and individualistic, often shaped by classroom experiences. For example, P8 was not interested in code-writing jobs, due to her group project ex- perience: "sitting at a table, and then for like hours. Oh My God. I did not like that at all... There wasn't communication." Even though she had not experienced a CS job firsthand, the classroom environment shaped her assumptions, as she said "that's how I imagine it." P18 shared a similar view, specifically about programming, describing coding as "very individual based" and saying collaboration often felt like "copying code." These examples suggest that unsupported collaboration in class may reinforce isolating views of CS, discour- aging non-CS majors from developing further interest or seeing themselves as fitting within the field."
"Some students also distanced themselves because they viewed CS as highly competitive, sometimes even without firsthand experi- ence. P5 expressed hesitancy to join the field based on perceptions about the CS community gleaned from a CS roommate: "It seems so competitive." P17, who participated in CS-related student organiza- tions, described a more personal experience with this competitive culture: "I didn't feel belongingness within the CS community. I know that it's very competitive and maybe it's also because I'm an organi- zation full of people that are very competitive more than others. I did feel a little inferior compared to them." Although these students rec- ognized the importance of computing and had positive classroom experiences, the persistent stereotype of CS as overly competitive discouraged them from pursuing a CS career."
"6.1.2 Os currículos introdutórios de computação frequentemente falham em ajudar alunos de outras áreas a perceberem a relevância do conteúdo. Embora esses alunos tenham expressado opiniões diversas sobre seus cursos introdutórios de computação, muitos não conseguiram perceber como o conteúdo era realmente relevante para eles, apesar de inicialmente acreditarem que seria (P1, P2, P3, P14, P15, P16). Por exemplo, P3 compartilhou: "muito do conteúdo de CS1 é abstrato, então não sei exatamente o quão bem ele se aplicaria em um ambiente de trabalho". Alunos de administração, em particular, pareceram enfrentar maior dificuldade em perceber a relevância da computação para sua área, o que pode ter contribuído para sua decisão de não prosseguir além dos cursos introdutórios. P1 refletiu: "Não sei se a computação desempenha um papel suficientemente importante na minha área... Em termos de empregos, eu não diria que ela é muito utilizada". Ela enfatizou que, para que ela pudesse prosseguir com mais cursos de informática, o curso "teria que ser realmente específico em termos do tópico e de como ele poderia ser aplicado a determinadas funções e empregos dentro das empresas, em vez de algo mais geral"."
"Many students, regardless of their level of interest in computing, felt that introductory courses were not designed to maintain non- CS majors' interest. As a concluding remark in our interview, P7 said, "I know a lot of people who end up not enjoying their CS minor or end up giving up on it. I think there should be an emphasis placed on intro-level classes that you don't have to use CS to be a software engineer. There are other things that you can do with it". This student added that such framing could help non-CS majors think, "Okay, I might be stuck doing this for now, but I don't have to do this forever. I can use programming for other applications in the future." These findings suggest that many non-CS majors do not fully recognize the relevance of computing until after their introductory courses, if at all, highlighting a critical gap in early curriculum design."
"8.1.1 Students with individual interest face structural barriers to pursuing their desired computing courses or pathways. Even after de- veloping individual interest in computing, students faced structural barriers that hindered further engagement in academic settings (P5, P6, P9, P12, P17). Common barriers included enrollment restrictions, limited seats, and prerequisite requirements. P6 shared, "I sometimes worry that I won't be able to get a seat in this course...they're restricting courses because of availability." P5 explained the challenge associated with taking prerequisites that are not relevant: "I wanted to take [game development course] from the beginning. I don't think that there was very much relevant information from the previous four courses that would've changed anything about." One student who developed interest later in her academic career stated that she could not take courses that she became interested in as "it was pretty late and I knew that I couldn't really add" due to prerequisites."</t>
  </si>
  <si>
    <t>Malu (2-46);</t>
  </si>
  <si>
    <t>Title</t>
  </si>
  <si>
    <t>Year</t>
  </si>
  <si>
    <t>Abstract</t>
  </si>
  <si>
    <t>Authors</t>
  </si>
  <si>
    <t>Volume</t>
  </si>
  <si>
    <t>Issue</t>
  </si>
  <si>
    <t>Art. No.</t>
  </si>
  <si>
    <t>Page start</t>
  </si>
  <si>
    <t>Page end</t>
  </si>
  <si>
    <t>Cited by</t>
  </si>
  <si>
    <t>DOI</t>
  </si>
  <si>
    <t>References</t>
  </si>
  <si>
    <t>Document Type</t>
  </si>
  <si>
    <t>Open Access</t>
  </si>
  <si>
    <t>EID</t>
  </si>
  <si>
    <t>Inconforme - Não está conforme o tema</t>
  </si>
  <si>
    <t>Room2Educ8: A Framework for Creating Educational Escape Rooms Based on Design Thinking Principles</t>
  </si>
  <si>
    <t>By immersing learners in a playful, interactive, and engaging experience, Educational Escape Rooms (EERs) have been found to enhance learners’ motivation, help them to develop 21st century skills, and improve knowledge acquisition. As research into EERs is still in a preliminary phase, no unified framework about how to design them has been established yet. Additionally, existing frameworks rarely validate the quality and efficacy of the frameworks themselves in terms of usability and usefulness. Therefore, the present paper proposes Room2Educ8, a learner-centred framework for EER design that follows Design Thinking principles. It provides detailed heuristics for empathising with learners, defining learning objectives and constraints, adding narrative, designing puzzles, briefing and debriefing participants, prototyping and playtesting, documenting the whole process, and evaluating the EER experience. A mixed-methods internal validation study based on Instructional Design model validation was conducted with 104 postgraduate students between 2018–2022 to assess the framework’s integrity and use. The study findings suggest that Room2Educ8 can be proposed as a valid tool for developing a wide range of EER types that cover a variety of topics. Its well-described and practical steps make it appropriate for educators regardless of a lack of prior experience in EER design. © 2022 by the authors.</t>
  </si>
  <si>
    <t>Fotaris P.; Mastoras T.</t>
  </si>
  <si>
    <t>10.3390/educsci12110768</t>
  </si>
  <si>
    <t>https://www.scopus.com/inward/record.uri?eid=2-s2.0-85141583700&amp;doi=10.3390%2Feducsci12110768&amp;partnerID=40&amp;md5=40eb190f17a467ca612a933e8211e213</t>
  </si>
  <si>
    <t>Article</t>
  </si>
  <si>
    <t>All Open Access; Gold Open Access; Green Open Access</t>
  </si>
  <si>
    <t>2-s2.0-85141583700</t>
  </si>
  <si>
    <t>Inconforme - Publicações com mais de 30 páginas</t>
  </si>
  <si>
    <t>Research Data Management and Data Literacies</t>
  </si>
  <si>
    <t>Research Data Management and Data Literacies help researchers familiarize themselves with RDM, and with the services increasingly offered by libraries. This new volume looks at data-intensive science, or ‘Science 2.0’ as it is sometimes termed in commentary, from a number of perspectives, including the tasks academic libraries need to fulfil, new services that will come online in the near future, data literacy and its relation to other literacies, research support and the need to connect researchers across the academy, and other key issues, such as ‘data deluge,’ the importance of citations, metadata and data repositories. This book presents a solid resource that contextualizes RDM, including good theory and practice for researchers and professionals who find themselves tasked with managing research data. © 2022 Elsevier Ltd. All rights reserved.</t>
  </si>
  <si>
    <t>Koltay T.</t>
  </si>
  <si>
    <t>10.1016/C2020-0-02068-2</t>
  </si>
  <si>
    <t>https://www.scopus.com/inward/record.uri?eid=2-s2.0-85136718318&amp;doi=10.1016%2FC2020-0-02068-2&amp;partnerID=40&amp;md5=d43da1b1b5a6d160c9ed229267df8563</t>
  </si>
  <si>
    <t>Book</t>
  </si>
  <si>
    <t>2-s2.0-85136718318</t>
  </si>
  <si>
    <t>The Deviant Security Practices of Cyber Crime</t>
  </si>
  <si>
    <t>In this book academic and police officer Erik van de Sandt researches the security practices of cyber criminals. While their protective practices are not necessarily deemed criminal by law, the countermeasures of cyber criminals frequently deviate from prescribed bona fide cyber security standards. This book is the first to present a full picture on these deviant security practices, based on unique access to confidential police sources related to some of the world's most serious and organized cyber criminals. The findings of this socio-technical-legal research prove that deviant security is an academic field of study on its own, and will help a non-technical audience to understand cyber security and the challenges of investigating cyber crime. © 2021 by Erik H.A. van de Sandt.</t>
  </si>
  <si>
    <t>van de Sandt E.H.A.</t>
  </si>
  <si>
    <t>10.1163/9789004463189</t>
  </si>
  <si>
    <t>https://www.scopus.com/inward/record.uri?eid=2-s2.0-85131692666&amp;doi=10.1163%2F9789004463189&amp;partnerID=40&amp;md5=ebbf899d4b387d8131c1dcfc6807b43f</t>
  </si>
  <si>
    <t>2-s2.0-85131692666</t>
  </si>
  <si>
    <t>Measuring Diversity of Game Scenarios</t>
  </si>
  <si>
    <t>This paper comprehensively reviews the metrics for measuring the diversity of game scenarios, spotlighting the innovative use of procedural content generation and other fields as cornerstones for enriching player experiences through diverse game scenarios. By traversing a wide array of disciplines, from affective modeling and multiagent systems to psychological studies, our research underscores the importance of diverse game scenarios in gameplay and education. Through a taxonomy of diversity metrics and evaluation methods, we aim to bridge the current gaps in literature and practice, offering insights into effective strategies for measuring and integrating diversity in game scenarios. Our analysis highlights the necessity for a unified taxonomy to aid developers and researchers in crafting more engaging and varied game worlds. This survey not only charts a path for future research in diverse game scenarios but also serves as a handbook for industry practitioners seeking to leverage diversity as a key component of game design and development. © 2018 IEEE.</t>
  </si>
  <si>
    <t>Li Y.; Wang Z.; Zhang Q.; Yuan B.; Liu J.</t>
  </si>
  <si>
    <t>10.1109/TG.2025.3543135</t>
  </si>
  <si>
    <t>https://www.scopus.com/inward/record.uri?eid=2-s2.0-85218772084&amp;doi=10.1109%2FTG.2025.3543135&amp;partnerID=40&amp;md5=f980de7509adeee4b848c6dd694fc9d0</t>
  </si>
  <si>
    <t>Review</t>
  </si>
  <si>
    <t>2-s2.0-85218772084</t>
  </si>
  <si>
    <t>Dúvida</t>
  </si>
  <si>
    <t>Embedding Technical, Personal and Professional Competencies in Computing Degree Programmes</t>
  </si>
  <si>
    <t>Many factors influence computing graduate employment prospects, including human capital, social capital, individual attributes, individual career-building behaviours, perceived employability, and labour market factors. Whilst most computing graduates go on to be beneficially employed, a small minority remain under-employed or unemployed. Computing curricular recommendations increasingly advocate a competency-based approach to bolster graduates' perceived employability. Hence, the discipline is evolving to incorporate competency-based approaches. However, competency-based can mean any of three different types of competency: technical, personal and professional. Technical Competency is the ability to apply acquired content knowledge and skills to develop solutions to unseen problems. Personal Competency is the personal behaviours and interpersonal skills required for success in the modern workplace. Professional Competency is Technical and Personal combined and applied in a real-world context. This position paper provides illustrative examples of how to embed all three kinds of Competency. Based on examples from representative undergraduate computing programmes at UK universities, it provides examples of embedding each kind of competency: Technical Competency (teaching programming through craft computing and approaches for developing cybersecurity competency), Personal Competency (teaching teamwork through project-based learning and creativity via problem-based learning), and Professional Competency (developing work-ready competency using industrial placements, and co-design/co-delivery with industry via degree apprenticeships), providing a valuable foundation and framing for portability and extension in other institutions and jurisdictions. Furthermore, these distinctive types of competency form a helpful taxonomy when considering how to embed competency in computing courses and are candidates for inclusion within future computing curricula guidelines. © 2024 ACM.</t>
  </si>
  <si>
    <t>Prickett T.; Crick T.; Davenport J.H.; Bowers D.S.; Hayes A.; Irons A.</t>
  </si>
  <si>
    <t>10.1145/3649217.3653578</t>
  </si>
  <si>
    <t>https://www.scopus.com/inward/record.uri?eid=2-s2.0-85198901484&amp;doi=10.1145%2F3649217.3653578&amp;partnerID=40&amp;md5=3a54638a22eff0491ec08ad6d0cff4bb</t>
  </si>
  <si>
    <t>All Open Access; Green Open Access</t>
  </si>
  <si>
    <t>2-s2.0-85198901484</t>
  </si>
  <si>
    <t>Inconforme - Estudos que já são RSL/MS (Estudos secundários)</t>
  </si>
  <si>
    <t>The Flipped Classroom in Medical Education: Systematic Review and Meta-Analysis</t>
  </si>
  <si>
    <t>Background: The concept of flipped classrooms (FCs) is gaining attention in medical education as it aligns with the digital age’s demand for more interactive and accessible learning experiences. By shifting the delivery of instructional content outside of the classroom, an FC allows students to engage with materials at their own pace, thereby maximizing in-class time for discussions, problem-solving, and other active learning activities. Objective: This study aimed to conduct a comprehensive meta-analysis to appraise the comparative effectiveness of FC instruction in contrast to traditional pedagogical modalities, with a particular focus on postepidemic analyses within specific subfields of medical education. Methods: The PubMed, Web of Science, and Scopus databases were systematically searched for studies comparing academic outcomes between the FC and traditional learning approaches in medical education. The primary outcome measures were knowledge assessment and students’ satisfaction. The standardized mean difference (SMD) was used as a measure of the overall effect, and subgroup analysis was performed according to the study design (randomized controlled trial [RCT] vs observational). The Cochran Q test and Baujat plots were used to estimate heterogeneity, coupled with I2. Highly influential studies were identified; sensitivity analyses and metaregression were performed. Results: In total, 141 studies were included in the systematic review; 127 (90.1%) studies with 21,171 participants were included in the meta-analysis of students’ knowledge assessment, of which 37 (29.1%) were RCTs. FCs had significantly better outcomes than the traditional method in knowledge test scores in both observational studies and RCTs (SMD 0.90, 95% CI 0.59-1.20, P&lt;.001 and SMD 0.93, 95% CI 0.65-1.22, P&lt;.001, respectively). There was substantial heterogeneity among included studies (I2=95.2%, τ2=1.614; P&lt;.001). The funnel plot showed high asymmetry with significant small study effects (P&lt;.001). However, the effect estimate remained robust to the exclusion of highly influential studies in the sensitivity analysis. In total, 27 (21.3%) studies with a total of 5842 participants reported students’ satisfaction. Higher student satisfaction scores for FCs were demonstrated in contrast to control groups (SMD 0.82, 95% CI 0.45-1.19; P&lt;.001). There was substantial heterogeneity among the included studies (I2=97.8%, τ2=0.913; P&lt;.001) but no evidence for publication bias, and no studies were found to be influential. Conclusions: The FC method is associated with better knowledge achievement and greater student satisfaction than the traditional approach in medical education, paving the way for its broader integration into medical school curricula. However, it is essential to consider various factors, such as the availability of resources, faculty readiness, and student preferences when implementing any new educational approach. This study holds promise for advancing medical education by exploring innovative teaching methodologies that leverage technology to enhance learning outcomes. ©Dragan Spaic, Zoran Bukumiric, Nina Rajovic, Ksenija Markovic, Marko Savic, Jelena Milin-Lazovic, Nikola Grubor, Nikola Milic, Dejana Stanisavljevic, Aleksa Despotovic, Dejan Bokonjic, Jelena Vladicic Masic, Valerija Janicijevic, Srdjan Masic, Natasa Milic.</t>
  </si>
  <si>
    <t>Spaic D.; Bukumiric Z.; Rajovic N.; Markovic K.; Savic M.; Milin-Lazovic J.; Grubor N.; Milic N.; Stanisavljevic D.; Despotovic A.; Bokonjic D.; Masic J.V.; Janicijevic V.; Masic S.; Milic N.</t>
  </si>
  <si>
    <t>e60757</t>
  </si>
  <si>
    <t>10.2196/60757</t>
  </si>
  <si>
    <t>https://www.scopus.com/inward/record.uri?eid=2-s2.0-105012932036&amp;doi=10.2196%2F60757&amp;partnerID=40&amp;md5=fab41fda6504643ba40026189f9b60c9</t>
  </si>
  <si>
    <t>2-s2.0-105012932036</t>
  </si>
  <si>
    <t>A Wellness Course for Engineering Students</t>
  </si>
  <si>
    <t>Engineering programs are often rigorous, with high expectations and workload. As a result, poor self-care habits might be perceived as part of the engineering identity, where rigor, stress, and suffering are considered norms of being an engineer. This perception has been studied by scientists, and literature data suggests that undergraduate engineering students are less likely to seek help when suffering from a mental illness compared to non-engineering students. Good self-care habits contribute to overall physical and mental wellness, which is correlated with academic success in the context of engineering education. Not surprisingly, higher education institutions have developed and offer a variety of wellness programs. However, engineering students are less likely to utilize such resources due to their high workload and the stigma associated with engineering identity. Prioritizing self-care activities over coursework may be seen as violating a cultural norm within the engineering discipline. This behavior served as motivation for the authors to develop an elective wellness course housed in the chemical engineering department at the University of California Davis (UC Davis). By offering a course where participants allocate time with their engineering peers and faculty to discuss and practice self-care activities, we aimed that participants would experience a decrease in their stress level and gain training in how to care about their overall wellness. The objective of this work is to describe the development, structure, and activities of the new engineering wellness course at UC Davis, which was piloted during the 2022-2023 academic year. The main goal of the class was to guide students to develop and practice good self-care habits. Each class/activity focused on a self-care domain (cognitive, emotional, interpersonal, physical, practical, and spiritual). Additionally, activities were performed to build positive and meaningful relationships with peers and faculty. Students' feedback indicated that the course helped to decrease their stress level during the quarter, and that the interaction with other students was a valuable part of the course. © American Society for Engineering Education, 2024.</t>
  </si>
  <si>
    <t>Prado G.; White J.R.; Sweeney S.</t>
  </si>
  <si>
    <t>https://www.scopus.com/inward/record.uri?eid=2-s2.0-85202055584&amp;partnerID=40&amp;md5=a1ee85b92ec09f2399c85f4bcbdaf851</t>
  </si>
  <si>
    <t>2-s2.0-85202055584</t>
  </si>
  <si>
    <t>Conforme</t>
  </si>
  <si>
    <t>The increase in job opportunities for computing professionals in the global community has resulted in a dramatic surge in the enrollment numbers in computer science (CS) departments in many academic institutions. Many of these jobs are in software engineering and require the use of a wide range of skills, including both technical and non-technical skills. The technical skills needed for effective software engineering include: knowledge of the software process and use of a wide array of tools to support development. The non-technical (soft) skills include: effective communication and team management skills. Pedagogy in software engineering courses continue to evolve as new evidence-based approaches become more widespread. However, this evolution tends to lag behind the pedagogical changes in other STEM disciplines. In this paper we present our experiences of integrating learning and engagement strategies (LESs) into face-to-face (F2F) learning environments for both software engineering and software testing undergraduate classes. The LESs used in our pedagogical approach include: collaborative learning, gamification, problem-based learning, and social interaction. Our approach is guided by the LES Integration Model (LESIM) that has the objective of increasing student learning and engagement in both F2F and online learning environments. We conducted a quasi-experimental quantitative study to determine the students' perception of using LESs in a F2F learning environment for two software engineering classes. Based on the results of the study and our experience using LESIM in the classroom we present lessons learned. © American Society for Engineering Education 2020.</t>
  </si>
  <si>
    <t>2020-June</t>
  </si>
  <si>
    <t>2-s2.0-85095761044</t>
  </si>
  <si>
    <t>Undergraduate Research for the Development of Generic Competencies: A Study of a Civil Engineering Program</t>
  </si>
  <si>
    <t>Integral training based on competencies is a priority axis for higher education programs. Among the competencies, generic competencies, common to all disciplines, are the most valued by organizations. Developing generic competencies among students requires active methodologies that encourage them to lead their own knowledge-building process, such as undergraduate research. Undergraduate research may be defined as the type of investigation that is conducted by an undergraduate student, making an original intellectual or creative contribution to the discipline. In this context, the present research proposes to explore the relationship between undergraduate research training and the process of developing and reinforcing generic competencies. This study focuses on the perceptions of a group of professors, graduates, and students from an engineering program within a Peruvian higher education institution. The program is characterized by the design and implementation of the Gradual Implementation Research Competencies Program, which embeds undergraduate research training throughout the curriculum. A qualitative approach with an exploratory purpose and nonexperimental design was applied. The study involved professors, students, and graduates who participated in focus groups. Results revealed that the participants perceived a relationship between undergraduate research training and the development of the following generic competencies: effective communication, teamwork, having an approach to work plans, practical application of knowledge of the discipline, recognition of ethical and professional behaviors, meta-learning, and lifelong learning. © 2025 This work is made available under the terms of the Creative Commons Attribution 4.0 International license,.</t>
  </si>
  <si>
    <t>Galantini Velarde K.; Briceño Weiss V.; Aguinaga Villegas M.; Abrahamzon Garcia L.; Del Savio A.A.</t>
  </si>
  <si>
    <t>10.1061/JCEECD.EIENG-2294</t>
  </si>
  <si>
    <t>https://www.scopus.com/inward/record.uri?eid=2-s2.0-105031884856&amp;doi=10.1061%2FJCEECD.EIENG-2294&amp;partnerID=40&amp;md5=81d7c974bf0d0627a570a494fd79c334</t>
  </si>
  <si>
    <t>2-s2.0-105031884856</t>
  </si>
  <si>
    <t>Cognitive informatics</t>
  </si>
  <si>
    <t>The introduction of new health information technologies provides both great opportunities but presents significant cognitive challenges. Cognitive science is a multidisciplinary domain of inquiry devoted to the study of cognition and its role in intelligent agency. It incorporates basic science research related to attention, memory, reasoning, and comprehension as well as applied research pertaining to human-computer interaction and human factors. This chapter introduces cognitive research in healthcare and informatics, a discipline referred to as cognitive informatics. It presents the basic theoretical underpinnings of cognitive science with a focus on information-processing, natural language representation and distributed cognition frameworks. The chapter begins with a historical overview of research in related areas such as medical cognition, the acquisition of expertise and patient safety. © Springer Nature Switzerland AG 2021.</t>
  </si>
  <si>
    <t>Patel V.L.; Kaufman D.R.</t>
  </si>
  <si>
    <t>10.1007/978-3-030-58721-5_4</t>
  </si>
  <si>
    <t>https://www.scopus.com/inward/record.uri?eid=2-s2.0-85140846494&amp;doi=10.1007%2F978-3-030-58721-5_4&amp;partnerID=40&amp;md5=29bf7ec03ab0bfd83d3f51dd4d91dcba</t>
  </si>
  <si>
    <t>Book chapter</t>
  </si>
  <si>
    <t>2-s2.0-85140846494</t>
  </si>
  <si>
    <t>Implementing Fuzzy AHP and FUCOM to evaluate critical success factors for sustained academic quality assurance and ABET accreditation</t>
  </si>
  <si>
    <t>The Accreditation Board for Engineering and Technology (ABET) accredits the tertiary education programs in the areas of applied and natural science, computing, engineering, and engineering technology. ABET offers accreditation in the United States and other regions in the world that lack such entities such as Gulf Cooperative Counties (GCC). Though ABET accreditation is voluntary, graduates of the ABET-accredited programs are considered equivalent in knowledge, behaviors, and attitude with global standards. The process of ABET accreditation takes months or years depending upon the gap with readiness and resources. The objective of this study is to compile and prioritize the list of critical success factors (CSFs) to commit resources optimally for sustained academic quality assurance and ABET accreditation. The triangulation research designed has been employed. Firstly, the observation of the ABET accreditation process of multiple programs at King Khalid University (KKU) helped in identifying 11 CSFs in three categories namely Program design and execution, Quality culture and excellence, and Institutional infrastructure and support. Further, these CSFs have been explored in the literature in the area of ABET accreditation. Finally, the research employs a fuzzy analytical hierarchy process (Fuzzy AHP) and full consistency method (FUCOM) to rank the relative importance of these CSFs and their dimensions for sustained academic quality assurance and ABET accreditation. The incorporation of these CSFs will help institutions in the GCC and other regions to get their academic programs ABET-accredited in an optimal manner. Copyright: © 2020 Ahmad, Qahmash. This is an open access article distributed under the terms of the Creative Commons Attribution License, which permits unrestricted use, distribution, and reproduction in any medium, provided the original author and source are credited.</t>
  </si>
  <si>
    <t>Ahmad N.; Qahmash A.</t>
  </si>
  <si>
    <t>9 September</t>
  </si>
  <si>
    <t>e0239140</t>
  </si>
  <si>
    <t>10.1371/journal.pone.0239140</t>
  </si>
  <si>
    <t>https://www.scopus.com/inward/record.uri?eid=2-s2.0-85091192323&amp;doi=10.1371%2Fjournal.pone.0239140&amp;partnerID=40&amp;md5=45e928025ce94de98966974bd9eca2c7</t>
  </si>
  <si>
    <t>2-s2.0-85091192323</t>
  </si>
  <si>
    <t>Faculty Members' Perceptions of Engineering Students' Preparedness for Leadership Competencies</t>
  </si>
  <si>
    <t>To help engineering students gain the skills and knowledge necessary for their careers, academic programs are designed to develop student outcomes to meet industry needs. Workforce preparation requires both technical and professional skills. Leadership is the nexus of technical and professional skills and is expected by employers because it facilitates advancement throughout an engineer's career. To develop students' career preparation, this study examines faculty members' perceptions of engineering students' preparedness in leadership competencies. This work is part of a larger study examining faculty members' perceptions of leadership and their roles in preparing engineering students for careers. This paper specifically seeks to answer this research question: What are engineering faculty members' perceptions of students' leadership competencies for career preparation? To address this research question, a qualitative approach was utilized that included in-depth interviews with 12 engineering faculty members at five US universities. The interview was designed to examine the ways that faculty members prepare their students for careers and their perspectives and practices related to leadership. During the interviews, the researcher provided a quote illustrating the relationship between the technical and professional skills expected from students and their employability: “Construction is a people business: In this business you're hired for your technical skills, fired for your lack of people skills, promoted for your management skills.” Participants were asked to contextualize this statement in their own discipline and describe their perceptions of leadership given the conceptualization of industry as a people business. The interview transcripts were analyzed deductively to ascertain perceptions of technical, management, and people skills and understand faculty members' perspectives on students' preparation. The findings suggest that faculty members (1) believed that students are under-prepared for the professional skills required in the engineering industry, (2) promoted students' experiences outside the classroom as a way to improve professional skills, and (3) expressed mixed perceptions of requiring leadership education in college. This work contributes to the growing body of literature on developing engineering students with leadership competencies to support career preparedness. This work also helps illuminate faculty members' different perceptions of leadership for students' employability. © American Society for Engineering Education, 2021</t>
  </si>
  <si>
    <t>Bae H.; Polmear M.; Simmons D.R.</t>
  </si>
  <si>
    <t>https://www.scopus.com/inward/record.uri?eid=2-s2.0-85124521764&amp;partnerID=40&amp;md5=1d6a84fdd3afa60d86fbadffb2ca3163</t>
  </si>
  <si>
    <t>2-s2.0-85124521764</t>
  </si>
  <si>
    <t>Development of a Novel Peer-sharing Application to Supplement Learning from Cadaveric Dissection</t>
  </si>
  <si>
    <t>Gross anatomy dissection in contemporary medical education must balance the traditional value of learning from the cadaver with the possibilities created by the use of digital tools as supplemental resources that personalize and deepen the student learning experience. This study broadly examined the design, implementation, and use of AnatomyShare, a novel iPad application employing learner-generated content that allows students to securely share annotated images of their dissections with each other and take faculty-generated image-based quizzes during their first-year medical school gross anatomy course. Almost all students enrolled in the course used the application (N = 176; 91% use based on analytics). Seventy-five students responded to a survey asking how and when they used the application, along with their perceptions of its usefulness and contribution to learning. More students reported using the application outside of laboratory (97.3%) than during laboratory (85.3%), despite only in-laboratory use being required. Taking quizzes using the “Exam” feature was the highest rated use of AnatomyShare, and students cited that the application exposed them to anatomical variation and motivated them to correctly identify structures during dissection. While steps need to be taken to combat low-quality learner-generated content and to enhance meaningful student interaction and collaboration, AnatomyShare was a feasible and highly rated supplement to dissection that provided valuable assessment opportunities for students. Future research will examine the impact of use on course grades and engagement in gross anatomy dissection. © 2020 American Association for Anatomy.</t>
  </si>
  <si>
    <t>Dua A.; Coppola K.M.; Mulheron G.W.; Troupe D.; Lebeau R.</t>
  </si>
  <si>
    <t>10.1002/ase.2032</t>
  </si>
  <si>
    <t>https://www.scopus.com/inward/record.uri?eid=2-s2.0-85097440655&amp;doi=10.1002%2Fase.2032&amp;partnerID=40&amp;md5=c7f8b8fbeb383d3a4b32758933445ef2</t>
  </si>
  <si>
    <t>2-s2.0-85097440655</t>
  </si>
  <si>
    <t>Mapping is curriculum research areas: A systematic literature review from 2010 to 2019</t>
  </si>
  <si>
    <t>Research on IS curriculum addresses many important aspects related to IS curriculum planning: sharing of good curriculum planning practices, reviewing and recommending contents for IS curriculum, and identifying graduates' competency needs. A bit surprisingly, however, there is no systematic literature review on IS curriculum research, increasing the possibility that knowledge does not accumulate, or reach intended beneficiaries. In this paper, we present results of a systematic literature review of IS curriculum research from 2010 to 2019. In total, 204 articles are downloaded from Scopus, AIS eLibrary, and ACM digital library. In addition to providing an overview of research demographics, we classify the articles first into three broad categories (planning process, curriculum contents, competency requirements), and secondly to more specific classes within each category. For IS curriculum researchers, the results assist in identifying prior research in different areas, thus promoting accumulation of research knowledge. For IS faculty, the paper provides an overview of IS curriculum related studies and a possibility to identify papers based on their immediate curriculum design needs and interests. © 2020 Proceedings of the 2020 SIGED International Conference on Information Systems Education and Research. All rights reserved.</t>
  </si>
  <si>
    <t>Feng S.; Salmela H.</t>
  </si>
  <si>
    <t>https://www.scopus.com/inward/record.uri?eid=2-s2.0-85101661635&amp;partnerID=40&amp;md5=1da49c16fea2af545f005a0a653f6096</t>
  </si>
  <si>
    <t>2-s2.0-85101661635</t>
  </si>
  <si>
    <t>Economics of the fourth industrial revolution: Internet, artificial intelligence and blockchain</t>
  </si>
  <si>
    <t>This book applies cutting-edge economic analysis and social science to unpack the rich complexities and paradoxes of the Fourth Industrial Revolution. The book takes the reader on a bold, refreshing, and informative tour through its technological drivers, its profound impact on human ecosystems, and its potential for sustainable human development. The overarching message to the reader is that the Fourth Industrial Revolution is not merely something to be feared or survived; rather, this dramatic collision of technologies, disciplines, and ideas presents a magnificent opportunity for a generation of new pioneers to rewrite “accepted rules” and find new avenues to empower billions of people to thrive. This book will help readers to discern the difference between disruption and transformation. The reader will come away from this book with a deeply intuitive and highly contextual understanding of the core technological advances transforming the world as we know it. Beyond this, the reader will clearly appreciate the future impacts on our economies and social structures. Most importantly, the reader will receive an insightful and actionable set of guidelines to assist them in harnessing the Fourth Industrial Revolution so that both they and their communities may flourish. The authors do not primarily seek to make prescriptions for government policy, but rather to speak directly to people about what they can do for themselves, their families, and their communities to be future-proofed and ready to adapt to life in a rapidly evolving world ecosystem. © 2021 Nicholas Johnson and Brendan Markey-Towler.</t>
  </si>
  <si>
    <t>Johnson N.; Markey-Towler B.</t>
  </si>
  <si>
    <t>10.4324/9780429430015</t>
  </si>
  <si>
    <t>https://www.scopus.com/inward/record.uri?eid=2-s2.0-85112144355&amp;doi=10.4324%2F9780429430015&amp;partnerID=40&amp;md5=47d59ecb1eee3e3b35fa926dcca3b483</t>
  </si>
  <si>
    <t>2-s2.0-85112144355</t>
  </si>
  <si>
    <t>Disruptive technologies in education and workforce development</t>
  </si>
  <si>
    <t>The education sector and workforce each face significant challenges in adapting to the unprecedented pace of technological advancement. Integrating artificial intelligence (AI), big data analytics, and other disruptive technologies is reshaping job roles and even entire industries, creating a pressing need for individuals and institutions to keep pace with these transformations. However, understanding and harnessing these technologies' potential can be daunting, especially without comprehensive resources that provide insights into their multifaceted impacts. Disruptive Technologies in Education and Workforce Development offers a comprehensive solution by exploring the profound implications of disruptive and emerging technologies. This book provides a roadmap for educators, policymakers, and professionals seeking to navigate the complexities of the digital age. The book focuses on innovative teaching and learning approaches, equipping readers with the knowledge and strategies to leverage these technologies effectively. © 2024 by IGI Global. All rights reserved.</t>
  </si>
  <si>
    <t>Delello J.A.; McWhorter R.R.</t>
  </si>
  <si>
    <t>10.4018/979-8-3693-3003-6</t>
  </si>
  <si>
    <t>https://www.scopus.com/inward/record.uri?eid=2-s2.0-85201346330&amp;doi=10.4018%2F979-8-3693-3003-6&amp;partnerID=40&amp;md5=110e204f51adc146eea49fcca1cf42af</t>
  </si>
  <si>
    <t>2-s2.0-85201346330</t>
  </si>
  <si>
    <t>A Comparison of Two Scenario-Based Assessments of Systems Thinking</t>
  </si>
  <si>
    <t>Engineers face complex and multidisciplinary problems in the modern work environment. To understand and solve these complex problems, engineers require systems thinking skills that allow them to consider the interconnected technical and contextual factors. Therefore, it is important to provide engineering students with opportunities to develop these skills during their education. A part of this process is developing assessment approaches that can help instructors measure students' systems thinking ability. A variety of approaches have been used in the literature to assess the development of systems thinking, including surveys, interviews, design projects, and scenario-based instruments. Scenario-based assessments can offer a more in-depth view of student learning than typical surveys while also being faster to analyze than open-ended data such as interviews. However, a range of scenario-based assessments that are available claim to assess similar skills, making it challenging to identify which fits the needs of a particular educational context. To help address this challenge, we compared two scenario-based assessments: the Village of Abeesee scenario [1] and the Energy Conversion Playground (ECP) design task [2], to understand concepts of systems thinking emphasized by each instrument and how students' scores on the assessments are related. The participants in this study were 19 undergraduate engineering students enrolled in an interdisciplinary humanities-based engineering course in Spring 2021. We administered both scenario-based assessments at the start and end of the semester to examine the change in students' scores over time. We then compared the assessment results from each instrument by examining average scores for each of the systems thinking dimensions and also individual total scores on each assessment. Lastly, we compared the experience of scoring the assessments from the perspective of the instructor or researcher using the assessment. Based on our findings, we make recommendations about when an instructor might choose to use one assessment or the other. Our results can inform future research and assessment projects that aim to assess students' systems thinking skills by comparing both student outcomes and instructor experience for these scenario-based assessments. © American Society for Engineering Education, 2022.</t>
  </si>
  <si>
    <t>Joshi S.S.; Davis K.; Czerwionka L.; Troncoso E.C.; Montalvo F.J.</t>
  </si>
  <si>
    <t>https://www.scopus.com/inward/record.uri?eid=2-s2.0-85138236401&amp;partnerID=40&amp;md5=8efbde0322350ab3659dba0aaf99f889</t>
  </si>
  <si>
    <t>2-s2.0-85138236401</t>
  </si>
  <si>
    <t>Anatomy education for medical students in the United Kingdom and Republic of Ireland in 2019: A 20-year follow-up</t>
  </si>
  <si>
    <t>Anatomical education in the United Kingdom (UK) and Ireland has long been under scrutiny, especially since the reforms triggered in 1993 by the General Medical Council's “Tomorrow's Doctors.” The aim of the current study was to investigate the state of medical student anatomy education in the UK and Ireland in 2019. In all, 39 medical schools completed the survey (100% response rate) and trained 10,093 medical students per year cohort. The teachers comprised 760 individuals, of these 143 were employed on full-time teaching contracts and 103 were employed on education and research contracts. Since a previous survey in 1999, the number of part-time staff has increased by 300%, including a significant increase in the number of anatomy demonstrators. In 2019, anatomy was predominantly taught to medical students in either a system-based or hybrid curriculum. In all, 34 medical schools (87%) used human cadavers to teach anatomy, with a total of 1,363 donors being used per annum. Gross anatomy teaching was integrated with medical imaging in 95% of medical schools, embryology in 81%, living anatomy in 78%, neuroanatomy in 73%, and histology in 68.3%. Throughout their five years of study, medical students are allocated on average 85 h of taught time for gross anatomy, 24 h for neuroanatomy, 24 h for histology, 11 h for living anatomy, and 10 for embryology. In the past 20 years, there has been an average loss of 39 h dedicated to gross anatomy teaching and a reduction in time dedicated to all other anatomy sub-disciplines. © 2021 The Authors. Anatomical Sciences Education published by Wiley Periodicals LLC on behalf of American Association for Anatomy.</t>
  </si>
  <si>
    <t>Smith C.F.; Freeman S.K.; Heylings D.; Finn G.M.; Davies D.C.</t>
  </si>
  <si>
    <t>10.1002/ase.2126</t>
  </si>
  <si>
    <t>https://www.scopus.com/inward/record.uri?eid=2-s2.0-85120378578&amp;doi=10.1002%2Fase.2126&amp;partnerID=40&amp;md5=83c160f5cce2afa4985b6b41dced69a2</t>
  </si>
  <si>
    <t>All Open Access; Green Open Access; Hybrid Gold Open Access</t>
  </si>
  <si>
    <t>2-s2.0-85120378578</t>
  </si>
  <si>
    <t>Addressing environmental challenges with AI, robotics, and augmented reality</t>
  </si>
  <si>
    <t>Addressing environmental challenges requires innovative, interdisciplinary solutions using technologies like artificial intelligence (AI), robotics, and augmented reality (AR). These advanced tools enhance monitoring and response to environmental changes while enabling proactive intervention strategies across ecosystems, industries, and communities. From AI-driven climate modeling and robotic reforestation to AR-enhanced environmental education and disaster response, these technologies reshape the understanding and protection of the natural world. Further research into issues like climate change, pollution, and biodiversity loss, may improve the integration of AI, robotics, and AR to offer a path toward sustainability. Addressing Environmental Challenges With AI, Robotics, and Augmented Reality explores the transformative role of emerging technologies in advancing sustainable development. It examines how innovations such as robotics, blockchain, AI, and augmented reality shape industries, addressing environmental challenges, and contributing to the achievement of the United Nations' Sustainable Development Goals (SDGs). This book covers topics such as policymaking, smart cities, and electric vehicles, and is a useful resource for engineers, government officials, urban developers, academicians, researchers, and environmental scientists. © 2025 by IGI Global Scientific Publishing. All rights reserved.</t>
  </si>
  <si>
    <t>Azrour M.; Hossain I.; Mahmudul Haque A.K.M.</t>
  </si>
  <si>
    <t>10.4018/979-8-3373-1892-9</t>
  </si>
  <si>
    <t>https://www.scopus.com/inward/record.uri?eid=2-s2.0-105012237309&amp;doi=10.4018%2F979-8-3373-1892-9&amp;partnerID=40&amp;md5=85ee1effda8e0873669522ab5960b0d5</t>
  </si>
  <si>
    <t>2-s2.0-105012237309</t>
  </si>
  <si>
    <t>Four innovations: A robust integrated behavioral health program in pediatric primary care.</t>
  </si>
  <si>
    <t>The increase in behavioral health problems presenting in pediatric primary care (PPC) has led to a greater focus on the prevention and treatment of mental health concerns. As a result, care has shifted from colocation to integrated PPC models. However, the literature provides limited guidance on the development and implementation of integrated PPC models that aim to transform both PPC and the larger health care system. We developed an integrated behavioral health (IBH) approach modeled with fidelity to the Integrated Practice Assessment Tool to fully integrate behavioral health into PPC. Over the 4 years since the application of our model, we have been successful in the development of an integration process and model for practice transformation of an urban PPC center and the spread and scale of IBH services to 2 additional clinics. Four elements combine to make our integrated behavioral health program novel: (a) clear mission and vision, (b) provision of universal prevention services, (c) continuous quality improvement, and (d) emphasis on practice and systems transformation. Trends in practice and scholarly inquiry indicate the need for robust pediatric IBH models, with a clear mission and vision; articulation of how research informs the development and implementation of the model; and infrastructure to meaningfully examine the model's impact. Cognizant of these needs, Cincinnati Children's Hospital Medical Center developed an IBH program. We provide key learnings for IBH program development, PPC transformation, and innovative systems redesign. We describe these elements and make recommendations for future research and practice. (PsycInfo Database Record (c) 2021 APA, all rights reserved) Public Significance Statement: Integrated Behavioral Health is a key strategy to address behavioral health programs in primary care. We share learnings about how four innovations have made our program novel and successful in scaling and spreading. (PsycInfo Database Record (c) 2021 APA, all rights reserved) © 2020 American Psychological Association</t>
  </si>
  <si>
    <t>Herbst R.B.; McClure J.M.; Ammerman R.T.; Stark L.J.; Kahn R.S.; Mansour M.E.; Burkhardt M.C.</t>
  </si>
  <si>
    <t>10.1037/fsh0000537</t>
  </si>
  <si>
    <t>https://www.scopus.com/inward/record.uri?eid=2-s2.0-85102211699&amp;doi=10.1037%2Ffsh0000537&amp;partnerID=40&amp;md5=1c2887c25f24343e2654acadf9ce455d</t>
  </si>
  <si>
    <t>2-s2.0-85102211699</t>
  </si>
  <si>
    <t>Project-Based Learning (PBL) as an Experiential Pedagogical Methodology in Engineering Education: A Review of the Literature</t>
  </si>
  <si>
    <t>This systematic literature review explores how the implementation of project-based-learning (PBL) as an experiential pedagogical methodology in engineering education contributes to the development of real-world skills among students. The methodology applied was the PRISMA protocol with searches in two databases in a 24 year timeframe. The research reviewed 54 pieces to explore the contribution of PBL to seven pillars of a holistic pedagogical model comprising the following categories: technology, an integrated curriculum, an international focus, sustainability, a multidisciplinary focus, simulation, and professional environments. Varied PBL developments across these pillars reveal challenges, including aligning with real-world complexities and promoting interdisciplinary integration. Despite obstacles, PBL in engineering shows promise for enhancing students’ skills and channeling the added value of a holistic pedagogical model, despite significant differences in the number of experiences associated with each category. Limitations include restricted article access, emphasizing the need for open science promotion. © 2024 by the authors.</t>
  </si>
  <si>
    <t>Lavado-Anguera S.; Velasco-Quintana P.-J.; Terrón-López M.-J.</t>
  </si>
  <si>
    <t>10.3390/educsci14060617</t>
  </si>
  <si>
    <t>https://www.scopus.com/inward/record.uri?eid=2-s2.0-85197174004&amp;doi=10.3390%2Feducsci14060617&amp;partnerID=40&amp;md5=a0de5a9c567589d4bd19a507b3a56d73</t>
  </si>
  <si>
    <t>2-s2.0-85197174004</t>
  </si>
  <si>
    <t>Towards Integrated Graduate Skills for UK Computing Science Students</t>
  </si>
  <si>
    <t>In preparing computing science students for industry, degree content often focuses on technical skills such as programming. Such skills are essential for a successful post-study career in industry and is popular with students. However, industry notes that students are often limited in what can be referred to as graduate attributes or transferable skills. Such skills include effective teamwork, communication, and critical thinking amongst others. Similar gaps have also been demonstrated for computing science students more specifically, resulting in industry developing their own training programmes for graduates. To address this issue, graduate attributes could be incorporated more readily into computing curricula. Within the UK this is discussed in accreditation requirements as well as higher education frameworks. However, research which aims to explore how to achieve this is still comparatively limited. Building on existing work in this area, this paper presents a thematic analysis of graduate attributes at Russell Group Universities in the UK to identify the most common attribute themes, and uses the most frequent themes to begin to consider how these could be more readily embedded in CS curricula. © 2022 ACM.</t>
  </si>
  <si>
    <t>English R.; Hayes A.</t>
  </si>
  <si>
    <t>10.1145/3555009.3555018</t>
  </si>
  <si>
    <t>https://www.scopus.com/inward/record.uri?eid=2-s2.0-85138438385&amp;doi=10.1145%2F3555009.3555018&amp;partnerID=40&amp;md5=48ce511d72d202679494cff5f89d1288</t>
  </si>
  <si>
    <t>2-s2.0-85138438385</t>
  </si>
  <si>
    <t>The Role of the Anatomist in Teaching of Nontraditional Discipline-Independent Skills</t>
  </si>
  <si>
    <t>Anatomy is a foundation within the training of many healthcare specialties. The role of anatomy in the curriculum, however, covers much more than the basics of structure and function of cells and organs. Anatomy can provide for the development of other nontraditional discipline-independent skills, competencies and attributes. These additional human skills-based elements of learning and development can be integrated into anatomical teaching sessions in a range of courses. Students should recognize anatomy as one of the earliest and most essential elements in their professional training. Anatomy sessions should expose students to an array of skills: dexterity, as students learn and practice the art of dissection and palpation; communication, as students develop interpersonal skills within teams; leadership; and the art of effective teamwork. The use of cadavers provides an early focus for examining legal and ethical issues. Cadavers are also an emotional nidus for many students. Students should learn the professional behavior expected within the healthcare professions early in the anatomy laboratory, with teachers and supervisors serving as role models. The focus on early professionalism has become increasingly prevalent in anatomical education, which adds further onus upon anatomy educators to polish their own skills in leadership, communication, and human sensitivity. © Springer Nature Switzerland AG 2020</t>
  </si>
  <si>
    <t>Evans D.J.R.; Pawlina W.</t>
  </si>
  <si>
    <t>10.1007/978-3-030-43283-6_45</t>
  </si>
  <si>
    <t>https://www.scopus.com/inward/record.uri?eid=2-s2.0-105013255947&amp;doi=10.1007%2F978-3-030-43283-6_45&amp;partnerID=40&amp;md5=e40dfe9d2935a543fa1d9a47c8a7f6df</t>
  </si>
  <si>
    <t>2-s2.0-105013255947</t>
  </si>
  <si>
    <t>The Concept of Enterprise Architecture from Theory to Practice</t>
  </si>
  <si>
    <t>Even though the field of enterprise architecture (EA) has matured, many organisations still struggle with its development and implementation, particularly those organisations involved in continuous transformational cycles and subjected to different environmental trends. This book is intended to assist organisations in getting a grip on the factors influencing EA implementation and gaining a deeper understanding of why things happen the way they do in the practice of EA. It is a comprehensive and definitive resource that is useful to both business professionals and academics. The book presents an approach for the development, implementation, or institutionalisation of EA that is independent of any method or other architecture frameworks. It can be applied directly using a realistic selection of organizational variables. The approach has two distinctive features that support EA, even in complex environments: From both technical and non-technical perspectives, it identifies influencing factors and how they manifest in the practice of EA in an organization It offers linear and practical mechanisms for developing and implementing EA to fortify the practice of the concept in an organisation This approach represents a significant contribution to EA. Starting with descriptions for EA, the book offers deepened models and frameworks for the development and implementation of EA at the domain level. It also covers factors upon which a model is built for the institutionalisation of the concept. Additionally, the book discusses the implications of EA for sponsors, architects, and other stakeholders responsible for EA development, implementation, and institutionalisation. © 2024 Tiko Iyamu.</t>
  </si>
  <si>
    <t>Iyamu T.</t>
  </si>
  <si>
    <t>10.1201/9781003390879</t>
  </si>
  <si>
    <t>https://www.scopus.com/inward/record.uri?eid=2-s2.0-85190817138&amp;doi=10.1201%2F9781003390879&amp;partnerID=40&amp;md5=544bb0dbc7345002e407a7487bd18100</t>
  </si>
  <si>
    <t>2-s2.0-85190817138</t>
  </si>
  <si>
    <t>A framework for transforming accounting and finance education amid digitalisation: professional roles, skills, and teaching</t>
  </si>
  <si>
    <t>The spread of digital transformation is not only altering tools and processes, but also revolutionising work, professional roles, and required skills in accounting and finance. How could higher education in this field evolve to meet the needs of professionals and students in a digitalised context? This question is examined through a participatory approach involving six focus groups with 45 participants, including 14 accounting and finance professionals, four recruiters, 21 students in French business schools, and six professors. A framework is proposed to highlight the relationships between the professional roles, skills, and teaching content and approaches. The findings suggest that higher education could prepare students for three main roles. Furthermore, they indicate the convergence of needs in terms of education. The role of the expert requires an enhanced mastery of the accounting and financial disciplines. The role of the intermediary calls for the development of communication skills throughout educational programmes. The role of the manager of uncertainty points to the relevance of critical thinking in addressing complex situations. For future professionals to perform these roles effectively, fostering digital literacy is essential. Additionally, accounting may be framed as a social practice, and teaching could strategically incorporate multidisciplinary perspectives and a work-integrated approach. © 2025 Informa UK Limited, trading as Taylor &amp; Francis Group.</t>
  </si>
  <si>
    <t>Aubry M.; Ben Hamadi Z.; Fournès C.; Tessier L.</t>
  </si>
  <si>
    <t>10.1080/09639284.2025.2557836</t>
  </si>
  <si>
    <t>https://www.scopus.com/inward/record.uri?eid=2-s2.0-105017052675&amp;doi=10.1080%2F09639284.2025.2557836&amp;partnerID=40&amp;md5=e4276cbf458fc80945cfb788443f3a09</t>
  </si>
  <si>
    <t>2-s2.0-105017052675</t>
  </si>
  <si>
    <t>Human Factors Engineering and Ergonomics: A Systems Approach, Third edition</t>
  </si>
  <si>
    <t>This textbook comprehensively covers the basic principles and most recent advances regarding visual displays, auditory and tactile displays, and controls; psychophysics; cognitive processes; human–computer interaction, artificial intelligence and artificial life; stress and human performance; occupational accidents and prevention; human group dynamics and complex systems; and anthropometry, workspace, and environmental design. The systems perspective emphasizes nonlinear dynamics for system performance changes and emergent behaviors of complex person–machine systems. This book: • Surveys principles of conventional and computer-b ased machine interaction. • Assesses the relative effectiveness of accident analysis and prevention strategies. • Highlights nonlinear dynamics for system performance changes. • Examines artificial intelligence and complex systems. • Investigates sources of cognitive workload and fatigue. The textbook will be a valuable resource for advanced undergraduates and graduate students in diverse fields including ergonomics, human factors, cognitive science, computer science, operations management, and psychology. The textbook brings together core principles of person–machine interaction, accident analysis and prevention strategies, risk analysis and resilience, artificial intelligence, group dynamics, and nonlinear dynamics for an enhanced understanding of complex person–machine systems. © 2023 Stephen J. Guastello.</t>
  </si>
  <si>
    <t>Guastello S.J.</t>
  </si>
  <si>
    <t>10.1201/9781003359128</t>
  </si>
  <si>
    <t>https://www.scopus.com/inward/record.uri?eid=2-s2.0-85160115355&amp;doi=10.1201%2F9781003359128&amp;partnerID=40&amp;md5=200062bb4bf4e66be7a91e4bb7d7a201</t>
  </si>
  <si>
    <t>2-s2.0-85160115355</t>
  </si>
  <si>
    <t>Alternatives surgical training approaches during COVID-19 pandemic</t>
  </si>
  <si>
    <t>Importance: Coping with the COIVD-19 global-pandemic major changes in healthcare and educational operational policies, mandates the implementation of alternative surgical curriculum objects (components) to replace some of the traditional face-to-face activities. Objective: The objective of the study is to review and discuss various alternative curriculum objects (components) that can be used to restructure conventional surgical training curricula during the Declared Healthcare Emergency surgery rotations. The goal is to identify and recommend effective alternative educational activities that are compliant with the new social physical distancing regulations. Evidence review: Various curricular components and objects were examined. The educational value of the curriculum objects is studied and analyzed in terms of feasibility, knowledge gain/learning effectiveness, the need for facilitation or feedback, and the evaluation. Several curriculum objects were proposed with description of their value and applications. Findings: The selected and proposed activities include scenario-based MCQ writing exercises, video-based surgical skills interactive training, online learning modules, virtual rounding, reflection assignments, surgical skills simulation training, research education, and medical education learning. Their educational value is described and scaled. Conclusion: There is urgent and challenging need for surgical training using additional alternative curriculum objects (components). Working with the available resources and experiences is crucial to maximize the learning outcomes. Distance (online) education and educational technology tools and concepts provide a spectrum of valuable educational activities. Further work and studies are needed to optimize their utility. © 2021</t>
  </si>
  <si>
    <t>Tuma F.; Kamel M.K.; Shebrain S.; Ghanem M.; Blebea J.</t>
  </si>
  <si>
    <t>10.1016/j.amsu.2021.01.057</t>
  </si>
  <si>
    <t>https://www.scopus.com/inward/record.uri?eid=2-s2.0-85099810447&amp;doi=10.1016%2Fj.amsu.2021.01.057&amp;partnerID=40&amp;md5=ab18817aa7f472efc593a1db5bd39d7f</t>
  </si>
  <si>
    <t>2-s2.0-85099810447</t>
  </si>
  <si>
    <t>An International Examination of Non-Technical Skills and Professional Dispositions in Computing - Identifying the Present Day Academia-Industry Gap</t>
  </si>
  <si>
    <t>Computing graduates are frequently reported by members of industry to lack in professional dispositions and/or non-technical skills (often referred to as "soft skills"). In this work, we conduct a gap analysis of the alignment between academic preparation and industry expectations through a three-pronged study. First, a literature review explored the academic perspective of how fostering professional dispositions and non-technical skills occurs in tertiary computing education. Second, a literature review identifying industry's expectations of those dispositions and skills for entry-level computing professionals. Finally, a mixed-methods approach, combining a survey and structured interviews of computing industry professionals to identify their opinions on the relative importance of those skills and dispositions. In each of these prongs, we additionally consider whether and how Diversity, Equity, Inclusion, and Accessibility (DEIA) may have been approached and/or incorporated. Our work uncovers a number of gaps. Several skills and dispositions, such as leadership, ethics, and inventiveness, are over-represented in the academic literature compared to industry's expectations, while others such as lifelong learning and professionalism are under-emphasised. Furthermore, some terms such as 'ethics' and 'professionalism' are defined differently by various stakeholder groups, leading to a gap between academic training and industry expectations. Finally, several skills and dispositions, such as collaboration, teamwork, communication, and leadership show evidence of exposure in academia, but require more scaffolded instruction to meet industry expectations. We also found a dearth of coverage in the literature and a lack of focus in industry for DEIA considerations. © 2025 ACM.</t>
  </si>
  <si>
    <t>Garcia R.; Csizmadia A.; Pearce J.L.; Alshaigy B.; Glebova O.; Harrington B.; Liaskos K.; Lunn S.J.; Mackellar B.; Nasir U.; Pettit R.; Schulz S.; Stewart C.; Zavaleta Bernuy A.</t>
  </si>
  <si>
    <t>10.1145/3689187.3709610</t>
  </si>
  <si>
    <t>https://www.scopus.com/inward/record.uri?eid=2-s2.0-85219518165&amp;doi=10.1145%2F3689187.3709610&amp;partnerID=40&amp;md5=86b50482029bebe85cf7909064c17379</t>
  </si>
  <si>
    <t>2-s2.0-85219518165</t>
  </si>
  <si>
    <t>What can surgery learn from other high-performance disciplines?</t>
  </si>
  <si>
    <t>High-performance disciplines have always been concerned with safety and exceptional performance. They have established a culture of vigilance and accepted that human error is both inevitable and ubiquitous. These disciplines, therefore, have all implemented a ‘systems approach’ to error by focusing on predicting, preventing, rescuing and reporting errors that occur so that they can constantly adapt and improve. Given the complexity of surgery, and the error-prone environment within which it takes place, extracting positive behaviours from other high-performance disciplines will serve to improve performance and enhance patient safety. Surgery is being practiced in an ever-changing environment. Currently, there is less available operative experience for surgical trainees; multi-morbidity in patients is growing and rapidly evolving technology means that more high-tech equipment is being used in procedures. This article evaluates the effectiveness of current surgical protocol in reducing errors and possible modifications that can be made to fit the new environment that surgery is now being practiced in. It will then describe how three different high-performance disciplines: aviation, professional sport and Formula 1, have developed in their approaches to safety and excellence, which will serve as the basis for a discussion about what more can be learnt from these disciplines so that the surgical profession can continue to excel in the face of change. © 2020 The Author</t>
  </si>
  <si>
    <t>O'Logbon J.</t>
  </si>
  <si>
    <t>10.1016/j.amsu.2020.04.007</t>
  </si>
  <si>
    <t>https://www.scopus.com/inward/record.uri?eid=2-s2.0-85085765696&amp;doi=10.1016%2Fj.amsu.2020.04.007&amp;partnerID=40&amp;md5=1043ee2d2dfa9ee9d468b1256488a03b</t>
  </si>
  <si>
    <t>Editorial</t>
  </si>
  <si>
    <t>2-s2.0-85085765696</t>
  </si>
  <si>
    <t>Innovations in framework synthesis as a systematic review method</t>
  </si>
  <si>
    <t>Framework synthesis is one systematic review method employed to address health care practice and policy. Adapted from framework analysis methods, it has been used increasingly, using both qualitative and mixed-method systematic review methods. This article demonstrates a spectrum of approaches to framework synthesis that are dependent on the extent to which theory is tentative, emergent, refined, or established; and that stakeholder involvement may help to understand the topic's complexity where theory is more nascent. The choice of approach depends on the degree of match with existing theories and, in the absence of existing theory, the scale and heterogeneity of the literature to be managed. © 2020 John Wiley &amp; Sons, Ltd</t>
  </si>
  <si>
    <t>Brunton G.; Oliver S.; Thomas J.</t>
  </si>
  <si>
    <t>10.1002/jrsm.1399</t>
  </si>
  <si>
    <t>https://www.scopus.com/inward/record.uri?eid=2-s2.0-85081037559&amp;doi=10.1002%2Fjrsm.1399&amp;partnerID=40&amp;md5=c0733a35f89e3f12b954597ec0bd621a</t>
  </si>
  <si>
    <t>2-s2.0-85081037559</t>
  </si>
  <si>
    <t>Perspectives on career transitioning of students with attention deficit hyperactivity disorder (ADHD)</t>
  </si>
  <si>
    <t>Students with neurodevelopmental disorders (NDDs) face intricate challenges when it comes to transitioning into careers. The nuances of Attention Deficit Hyperactivity Disorder (ADHD demands a comprehensive understanding. Existing knowledge, attitudes, and perceptions about career transitioning for these students often lack depth, leading to gaps in support systems. Educational and policy issues further compound the difficulties, hindering the seamless integration of individuals with ADHD into the workforce. Barriers persist, and the need for effective solutions is urgent. Perspectives on Career Transitioning of Students with Attention Deficit Hyperactivity Disorder (ADHD) is a meticulously researched and thoughtfully crafted book on ensuring a smooth and comprehensive transition to career life after being a student for individuals with ADHD. Developed through an extensive research project, this book, a product of the Global Excellence and Stature (GES) 4.0 Research Fellowship, provides a multifaceted exploration of the challenges faced by these students. The book employs a discursive analysis approach to delve into theories, methods, policy issues, intervention studies, practice guidelines, institutional supports, validation studies, career counseling models, and barriers to career transition. The book offers tailored insights and strategies to help students join the workforce. This book is not just an academic endeavor; it is a call to action for scholars, educators, and policymakers. It serves as a guide, offering in-depth knowledge and practical approaches to transform the landscape of career transitioning for neurodivergent students. By delving into the various topics and comprehensive chapters, readers can gain a nuanced understanding of the challenges and, more importantly, access innovative solutions to implement. The time for change is now, and this book stands as a beacon, inviting readers to be part of a transformative journey toward a more inclusive and supportive educational and professional landscape for individuals with ADHD. © 2025 by IGI Global Scientific Publishing. All rights reserved.</t>
  </si>
  <si>
    <t>Diale B.M.; Eseadi C.</t>
  </si>
  <si>
    <t>10.4018/979-8-3693-2635-0</t>
  </si>
  <si>
    <t>https://www.scopus.com/inward/record.uri?eid=2-s2.0-86000109704&amp;doi=10.4018%2F979-8-3693-2635-0&amp;partnerID=40&amp;md5=a9d0e934b495468ed2d7759d44d16665</t>
  </si>
  <si>
    <t>2-s2.0-86000109704</t>
  </si>
  <si>
    <t>Safety and Security of Cyber-Physical Systems: Engineering dependable Software using Principle-based Development</t>
  </si>
  <si>
    <t>Cyber-physical systems (CPSs) consist of software-controlled computing devices communicating with each other and interacting with the physical world through sensors and actuators. Because most of the functionality of a CPS is implemented in software, the software is of crucial importance for the safety and security of the CPS. This book presents principle-based engineering for the development and operation of dependable software. The knowledge in this book addresses organizations that want to strengthen their methodologies to build safe and secure software for mission-critical cyber-physical systems. The book: • Presents a successful strategy for the management of vulnerabilities, threats, and failures in mission-critical cyber-physical systems; • Offers deep practical insight into principle-based software development (62 principles are introduced and cataloged into five categories: Business and organization, general principles, safety, security, and risk management principles); • Provides direct guidance on architecting and operating dependable cyber-physical systems for software managers and architects. © The Editor(s) (if applicable) and The Author(s), under exclusive license to Springer Nature Singapore Pte Ltd. 2023.</t>
  </si>
  <si>
    <t>Furrer F.J.</t>
  </si>
  <si>
    <t>10.1007/978-3-658-37182-1</t>
  </si>
  <si>
    <t>https://www.scopus.com/inward/record.uri?eid=2-s2.0-85153925166&amp;doi=10.1007%2F978-3-658-37182-1&amp;partnerID=40&amp;md5=f3e21042ca5985555b23af0f55370b23</t>
  </si>
  <si>
    <t>2-s2.0-85153925166</t>
  </si>
  <si>
    <t>Enhancing the measurement of employability in engineering: insights from a systematic literature review</t>
  </si>
  <si>
    <t>Enhancing graduate employability is a growing priority in higher education, yet how to conceptualise and assess it remains contested. This study identifies key limitations in employability assessment within the discipline of engineering based on a systematic review of 26 existing measurement instruments. Six critical insights for developing robust measures are identified: 1) conceptual clarity and consensus, 2) discipline (and sub-discipline) specificity, 3) holistic developmental foci, 4) translational rigour in operational definitions, 5) rigorous empirical validation, and 6) robust and apposite reporting mechanisms. Building on these insights, we recommend that employability measurement in engineering shift from short-term industry alignment toward future-oriented approaches that prioritise adaptability and long-term value for graduates, employers, and society. Additionally, higher education institutions should adopt comprehensive, validated frameworks and foster collaboration across academia, industry, and policymakers to improve employability measurement in engineering education. © 2025 The Author(s). Published by Informa UK Limited, trading as Taylor &amp; Francis Group.</t>
  </si>
  <si>
    <t>Zhan S.; Chapman E.; Valentine A.; Male S.</t>
  </si>
  <si>
    <t>10.1080/03043797.2025.2502473</t>
  </si>
  <si>
    <t>https://www.scopus.com/inward/record.uri?eid=2-s2.0-105004745022&amp;doi=10.1080%2F03043797.2025.2502473&amp;partnerID=40&amp;md5=0194b324ed9a140b7fb0272d152591e7</t>
  </si>
  <si>
    <t>2-s2.0-105004745022</t>
  </si>
  <si>
    <t>Artificial intelligence is rapidly reshaping the technological landscape, becoming an important component of work processes and decision-making in many domains. However, AI education has yet to catch up with the challenge of introducing this complex and very important area of technology to audiences beyond the students of computing and engineering disciplines. This is not surprising, given the lack of materials for and experience in teaching AI for non-technical audiences. In this paper we present the challenges in developing an AI course in business schools and propose a curriculum for a graduate-level business course in AI, which balances AI fundamentals with the latest developments in the field. We discuss our choices and present the results of a study, examining students’ experiences, learning outcomes, and perceptions regarding the course. We offer practical guidelines for the curriculum design that other educators may adopt in designing their AI training courses. © 2021</t>
  </si>
  <si>
    <t>10.1016/j.ijme.2021.100550</t>
  </si>
  <si>
    <t>2-s2.0-85113599492</t>
  </si>
  <si>
    <t>Is ChatGPT a source to enhance firms’ strategic value and business sustainability?</t>
  </si>
  <si>
    <t>Purpose: This study aims to investigate the effects of three dimensions of ChatGPT strategic value – organization support (OS), managerial productivity (IM) and decision aids (DA) – on the business sustainability (BS) of Malaysian public universities. Design/methodology/approach: A quantitative methodology was adopted for this study to examine the relationships between ChatGPT strategic value and the BS of Malaysian public universities. Findings: The study found that two dimensions of ChatGPT strategic value, namely, OS and IM, influence BS, whereas DA do not. Research limitations/implications: To the best of the author’s knowledge, this study is the first to address the relationship between ChatGPT strategic value and BS in a specific context – Malaysian public universities – providing new contributions to theory by extending the literature on the topic. Practical implications: The findings are expected to guide universities in Malaysia in leveraging ChatGPT strategic value for enhancing BS. Originality/value: To the best of the author’s knowledge, this empirical study is the first in the literature to examine the relationships between ChatGPT strategic value and BS in the education sector. Supported by an original conceptual model, the insights provided should extend the literature dedicated to ChatGPT strategic value and BS in the context of a South Asian economy. © 2024, Emerald Publishing Limited.</t>
  </si>
  <si>
    <t>AlQershi N.A.; Thursamy R.; Alzoraiki M.; Ali G.A.; Mohammed Emam A.S.; Nasir M.D.B.M.</t>
  </si>
  <si>
    <t>10.1108/JSTPM-05-2023-0064</t>
  </si>
  <si>
    <t>https://www.scopus.com/inward/record.uri?eid=2-s2.0-85197384152&amp;doi=10.1108%2FJSTPM-05-2023-0064&amp;partnerID=40&amp;md5=e200929a6cc0e1bd31841b7eee80058e</t>
  </si>
  <si>
    <t>2-s2.0-85197384152</t>
  </si>
  <si>
    <t>AI Literacy for All: Adjustable Interdisciplinary Socio-technical Curriculum</t>
  </si>
  <si>
    <t>This research-to-practice paper presents a curriculum, 'AI Literacy for All,' to promote an interdisciplinary under-standing of AI, its socio-technical implications, and its practical applications for all levels of education. With the rapid evolution of artificial intelligence (AI), there is a need for AI literacy that goes beyond the traditional AI education curriculum. AI literacy has been conceptualized in various ways, including public literacy, competency building for designers, conceptual understanding of AI concepts, and domain-specific upskilling. Most of these conceptualizations were established before the public release of Generative AI (Gen-AI) tools such as ChatGPT. AI education has focused on the principles and applications of AI through a technical lens that emphasizes the mastery of AI principles, the mathematical foundations underlying these technologies, and the programming and mathematical skills necessary to implement AI solutions. The non-technical component of AI literacy has often been limited to social and ethical implications, privacy and security issues, or the experience of interacting with AI. In AI Literacy for all, we emphasize a balanced curriculum that includes technical as well as non-technical learning outcomes to enable a conceptual understanding and critical evaluation of AI technologies in an interdisciplinary socio-technical context. The paper presents four pillars of AI literacy: understanding the scope and technical dimensions of AI, learning how to interact with Gen-AI in an informed and responsible way, the socio-technical issues of ethical and responsible AI, and the social and future implications of AI. While it is important to include all learning outcomes for AI education in a Computer Science major, the learning outcomes can be adjusted for other learning contexts, including, non-CS majors, high school summer camps, the adult workforce, and the public. This paper advocates for a shift in AI literacy education to offer a more interdisciplinary socio-technical approach as a pathway to broaden participation in AI. This approach not only broadens students' perspectives but also prepares them to think critically about integrating AI into their future professional and personal lives. © 2024 IEEE.</t>
  </si>
  <si>
    <t>Tadimalla S.Y.; Maher M.L.</t>
  </si>
  <si>
    <t>10.1109/FIE61694.2024.10893159</t>
  </si>
  <si>
    <t>https://www.scopus.com/inward/record.uri?eid=2-s2.0-105000639248&amp;doi=10.1109%2FFIE61694.2024.10893159&amp;partnerID=40&amp;md5=8815b60ed1f48d78972343203ec81d28</t>
  </si>
  <si>
    <t>2-s2.0-105000639248</t>
  </si>
  <si>
    <t>Problem-Based Learning for Engineering Education: Developing the Engineers of the Future</t>
  </si>
  <si>
    <t>This book embarks on an in-depth exploration of Problem-Based Learning (PBL) in the context of engineering education. Its overarching goal is to provide a comprehensive understanding of the genesis, potential, challenges, contemporary relevance, and methodological approaches of PBL. The impetus behind this undertaking arises from the acknowledged challenges within engineering education, necessitating a fundamental paradigm shift. The study's justification lies in the imperative adoption of innovative teaching methodologies for student performance improvement and fostering competency among engineering graduates. The narrative unfolds across four distinct sections: Background and Theoretical Perspectives; Methodological Aspects of PBL; Implications of PBL in Engineering Education and Case Studies; and Plausible Examples and Reflections and Future Direction. Part I establishes a robust foundation by defining PBL, tracing its historical roots, and weighing its potential against challenges. A critical examination of PBL's relevance underscores the urgent need for a paradigm shift in engineering education. The part weaves a "golden thread" that permeates subsequent explorations. A theoretical perspective of PBL follows, exploring its underpinnings and theoretical frameworks. This is complemented by a comparative analysis, offering insights into PBL's efficacy compared to traditional learning methods. The second part examines the alignment of PBL with Outcomes-Based Education, lays the groundwork for a coherent and practical integration of these educational approaches within the Engineering curriculum, and also offers methodological approaches to deliver and practice PBL. Part III explores PBL's application for reinforcing engineering education, emphasising its tangible impact. It probes into PBL as a means to instil entrepreneurial attributes in students and further expands to encompass the decolonisation and internationalisation of engineering education through PBL. The final part provides case studies, offer plausible examples, reflects on the lessons learned and draws insightful conclusions, synthesising the findings into a cohesive whole. Overall, this book seeks to make a substantial contribution to the ongoing discourse on innovative teaching methodologies, particularly within the context of engineering education. Through a meticulous examination of theoretical foundations, comparative analyses, and the provision of practical methodologies, it aims to serve as a valuable resource for educators, researchers, and policymakers who seek to enhance the effectiveness and relevance of engineering education in our ever-evolving world.. © 2026 Dillip K. Das. All rights reserved.</t>
  </si>
  <si>
    <t>Das D.K.</t>
  </si>
  <si>
    <t>10.1201/9781003529743</t>
  </si>
  <si>
    <t>https://www.scopus.com/inward/record.uri?eid=2-s2.0-105024367501&amp;doi=10.1201%2F9781003529743&amp;partnerID=40&amp;md5=55e5a81a700aad65ef6699a8e766f0c3</t>
  </si>
  <si>
    <t>2-s2.0-105024367501</t>
  </si>
  <si>
    <t>Managing Soft Skills Development in Technological Innovation Project Teams: An Experience Report in the Automotive Industry</t>
  </si>
  <si>
    <t>This Research Full Paper reports an experience related to the Training Program 4.0 to encourage technological innovation focused on developing professional skills, especially soft skills, in undergraduate and graduate students. As the primary motivation for this program, the constant technological evolution and consequent demand for continuing education of information technology professionals stand out. Also, considering the complexity of problems solved with technology and an increasingly demanding market, computing education has been transforming, focusing on technical skills, such as cloud technologies and AI, and non-technical skills, such as self-initiative, communication, and collaboration. In this context, continuing education initiatives through teaching and learning approaches centered on practice are beneficial for forming professional skills. This study describes an experience of one of the units of the Training Program 4.0 focused on innovation for the automotive sector, based on the report and discussion of three projects. As a main contribution, the report proposes a PBL process for innovation projects, transforming it into a PBL training that can be planned, executed, monitored, and continuously improved. Using an appropriate assessment model makes it possible to manage soft skills throughout the projects, carrying out necessary interventions. To present evidence of the use of the proposed PBL Process, the results of the projects are discussed, showing how Soft skills can be managed in the context of innovation projects or other educational contexts, such as courses or disciplines. © 2023 IEEE.</t>
  </si>
  <si>
    <t>Maia D.; Dos Santos S.C.; Cavalcante G.F.G.; Falcão P.A.A.</t>
  </si>
  <si>
    <t>10.1109/FIE58773.2023.10343417</t>
  </si>
  <si>
    <t>https://www.scopus.com/inward/record.uri?eid=2-s2.0-85183053669&amp;doi=10.1109%2FFIE58773.2023.10343417&amp;partnerID=40&amp;md5=8b78c8c29f6b690ac11e11961f3788ca</t>
  </si>
  <si>
    <t>2-s2.0-85183053669</t>
  </si>
  <si>
    <t>Horizons: nuclear astrophysics in the 2020s and beyond</t>
  </si>
  <si>
    <t>Nuclear astrophysics is a field at the intersection of nuclear physics and astrophysics, which seeks to understand the nuclear engines of astronomical objects and the origin of the chemical elements. This white paper summarizes progress and status of the field, the new open questions that have emerged, and the tremendous scientific opportunities that have opened up with major advances in capabilities across an ever growing number of disciplines and subfields that need to be integrated. We take a holistic view of the field discussing the unique challenges and opportunities in nuclear astrophysics in regards to science, diversity, education, and the interdisciplinarity and breadth of the field. Clearly nuclear astrophysics is a dynamic field with a bright future that is entering a new era of discovery opportunities. © 2022 IOP Publishing Ltd.</t>
  </si>
  <si>
    <t>Schatz H.; Becerril Reyes A.D.; Best A.; Brown E.F.; Chatziioannou K.; Chipps K.A.; Deibel C.M.; Ezzeddine R.; Galloway D.K.; Hansen C.J.; Herwig F.; Ji A.P.; Lugaro M.; Meisel Z.; Norman D.; Read J.S.; Roberts L.F.; Spyrou A.; Tews I.; Timmes F.X.; Travaglio C.; Vassh N.; Abia C.; Adsley P.; Agarwal S.; Aliotta M.; Aoki W.; Arcones A.; Aryan A.; Bandyopadhyay A.; Banu A.; Bardayan D.W.; Barnes J.; Bauswein A.; Beers T.C.; Bishop J.; Boztepe T.; Cote B.; Caplan M.E.; Champagne A.E.; Clark J.A.; Couder M.; Couture A.; de Mink S.E.; Debnath S.; deBoer R.J.; den Hartogh J.; Denissenkov P.; Dexheimer V.; Dillmann I.; Escher J.E.; Famiano M.A.; Farmer R.; Fisher R.; Frohlich C.; Frebel A.; Fryer C.; Fuller G.; Ganguly A.K.; Ghosh S.; Gibson B.K.; Gorda T.; Gourgouliatos K.N.; Graber V.; Gupta M.; Haxton W.C.; Heger A.; Hix W.R.; Ho W.C.G.; Holmbeck E.M.; Hood A.A.; Huth S.; Imbriani G.; Izzard R.G.; Jain R.; Jayatissa H.; Johnston Z.; Kajino T.; Kankainen A.; Kiss G.G.; Kwiatkowski A.; La Cognata M.; Laird A.M.; Lamia L.; Landry P.; Laplace E.; Launey K.D.; Leahy D.; Leckenby G.; Lennarz A.; Longfellow B.; Lovell A.E.; Lynch W.G.; Lyons S.M.; Maeda K.; Masha E.; Matei C.; Merc J.; Messer B.; Montes F.; Mukherjee A.; Mumpower M.R.; Neto D.; Nevins B.; Newton W.G.; Nguyen L.Q.; Nishikawa K.; Nishimura N.; Nunes F.M.; O'Connor E.; O'Shea B.W.; Ong W.-J.; Pain S.D.; Pajkos M.A.; Pignatari M.; Pizzone R.G.; Placco V.M.; Plewa T.; Pritychenko B.; Psaltis A.; Puentes D.; Qian Y.-Z.; Radice D.; Rapagnani D.; Rebeiro B.M.; Reifarth R.; Richard A.L.; Rijal N.; Roederer I.U.; Rojo J.S.; Saito Y.; Schwenk A.; Sergi M.L.; Sidhu R.S.; Simon A.; Sivarani T.; Skuladottir A.; Smith M.S.; Spiridon A.; Sprouse T.M.; Starrfield S.; Steiner A.W.; Strieder F.; Sultana I.; Surman R.; Szucs T.; Tawfik A.; Thielemann F.; Trache L.; Trappitsch R.; Tsang M.B.; Tumino A.; Upadhyayula S.; Valle Martinez J.O.; Van der Swaelmen M.; Viscasillas Vázquez C.; Watts A.; Wehmeyer B.; Wiescher M.; Wrede C.; Yoon J.; Zegers R.G.T.; Zermane M.A.; Zingale M.</t>
  </si>
  <si>
    <t>10.1088/1361-6471/ac8890</t>
  </si>
  <si>
    <t>https://www.scopus.com/inward/record.uri?eid=2-s2.0-85143082985&amp;doi=10.1088%2F1361-6471%2Fac8890&amp;partnerID=40&amp;md5=f62dbfae3d1c6b943fb9b17b0d1c3c10</t>
  </si>
  <si>
    <t>2-s2.0-85143082985</t>
  </si>
  <si>
    <t>Partnering undergraduate engineering students with preservice teachers to design and teach an elementary engineering lesson through ed+gineering</t>
  </si>
  <si>
    <t>Major challenges in engineering education include retention of undergraduate engineering students (UESs) and continued engagement after the first year when concepts increase in difficulty. Additionally, employers, as well as ABET, look for students to demonstrate non-technical skills, including the ability to work successfully in groups, the ability to communicate both within and outside their discipline, and the ability to find information that will help them solve problems and contribute to lifelong learning. Teacher education is also facing challenges given the recent incorporation of engineering practices and core ideas into the Next Generation Science Standards (NGSS) and state level standards of learning. To help teachers meet these standards in their classrooms, education courses for preservice teachers (PSTs) must provide resources and opportunities to increase science and engineering knowledge, and the associated pedagogies. To address these challenges, Ed+gineering, an NSF-funded multidisciplinary collaborative service learning project, was implemented into two sets of paired-classes in engineering and education: a 100 level mechanical engineering class (n = 42) and a foundations class in education (n = 17), and a fluid mechanics class in mechanical engineering technology (n = 23) and a science methods class (n = 15). The paired classes collaborated in multidisciplinary teams of 5-8 undergraduate students to plan and teach engineering lessons to local elementary school students. Teams completed a series of previously tested, scaffolded activities to guide their collaboration. Designing and delivering lessons engaged university students in collaborative processes that promoted social learning, including researching and planning, peer mentoring, teaching and receiving feedback, and reflecting and revising their engineering lesson. The research questions examined in this pilot, mixed-methods research study include: (1) How did PSTs' Ed+gineering experiences influence their engineering and science knowledge?; (2) How did PSTs' and UESs' Ed+gineering experiences influence their pedagogical understanding?; and (3) What were PSTs' and UESs' overall perceptions of their Ed+gineering experiences? Both quantitative (e.g., Engineering Design Process assessment, Science Content Knowledge assessment) and qualitative (student reflections) data were used to assess knowledge gains and project perceptions following the semester-long intervention. Findings suggest that the PSTs were more aware and comfortable with the engineering field following lesson development and delivery, and often better able to explain particular science/engineering concepts. Both PSTs and UESs, but especially the latter, came to realize the importance of planning and preparing lessons to be taught to an audience. UESs reported greater appreciation for the work of educators. PSTs and UESs expressed how they learned to work in groups with multidisciplinary members, a valued skill in both professions. Yearly, the Ed+gineering research team will also request and review student retention reports in their respective programs to assess project impact. © American Society for Engineering Education 2020.</t>
  </si>
  <si>
    <t>Gutierrez K.; Ringleb S.I.; Kidd J.J.; Ayala O.M.; Pazos P.; Kaipa K.</t>
  </si>
  <si>
    <t>https://www.scopus.com/inward/record.uri?eid=2-s2.0-85095766548&amp;partnerID=40&amp;md5=d5a16c5ab79999952f2c2de4db4cb67d</t>
  </si>
  <si>
    <t>2-s2.0-85095766548</t>
  </si>
  <si>
    <t>Teaching engineering design through a team-based multi-disciplinary humanitarian engineering project: effects on engineering identity and sense of belonging</t>
  </si>
  <si>
    <t>Humanitarian engineering is the application of skills or services for humanitarian aid purposes; and with crises occurring at an ever-increasing rate, more and more people and systems are being affected. There are global challenges facing the world with regard to accessible clean water, shelter, waste disposal, food security, and health. These challenges present opportunities for engineers to address real-world problems in collaborative teams, and propose viable solutions that take into account not only technical issues, but also issues of equity, culture, religion, society, and politics. Humanitarian academic exercises like the one described here, introduces students to the many of these skills that are necessary to better address today's complex societal challenges. First year introductory engineering courses are where engineering schools often make their first impressions on brand new undergraduate students, and are spaces to actively introduce them to engineering tools and processes in a safe and supportive environment. This paper discusses how one such introductory engineering course used a team-based multi-disciplinary humanitarian engineering project to teach students about the design process, relevant sociotechnical factors, team collaboration, and various forms of effective communications. The final deliverables for this project included a written proposal, using the Gates Foundation Concept Note as a template, and a seven-minute pitch of their designs to an imaginary investment firm. Regular home works were due along the way to the final deliverables to ensure that students stayed on track and received plenty of feedback at each step. A mixed methods approach, using a one group pre/post survey, was used to assess what role participation in this project had on the students' ability to apply the design process, and on the students' self-reported engineering identity and sense of belonging within the school community. We show that collaboration on a multi-disciplinary humanitarian engineering project improves students' comfort level with engineering design and the complex human factors that must be considered to address such challenges; and that this in turn contributes to students' engineering identity and sense of belonging. © American Society for Engineering Education, 2023.</t>
  </si>
  <si>
    <t>Barker S.; Taggart J.</t>
  </si>
  <si>
    <t>https://www.scopus.com/inward/record.uri?eid=2-s2.0-85172155830&amp;partnerID=40&amp;md5=1646ab1314477a345a50822c3773fac7</t>
  </si>
  <si>
    <t>2-s2.0-85172155830</t>
  </si>
  <si>
    <t>Digital Creativity:The Influence of Thinking Styles on Motivation in Video Production Education</t>
  </si>
  <si>
    <t>This study examines the link between thinking styles; legislative, executive, and judicial, and students perceived motivation in digital creativity education. Guided by Sternberg's Mental Self-Government Theory and Keller's ARCS model, it compares learner-paced (DVC-LS) and system-paced (DVC-SS) instructional approaches. Findings reveal that legislative thinkers show greater intrinsic motivation in learner-paced settings, while executive and judicial thinkers respond better to structured, system-paced environments. The results highlight the importance of aligning instructional design with learners' cognitive styles to enhance motivation and engagement in digital creativity education. This alignment can support more personalized, effective learning experiences and inspire sustained interest in creative digital tasks. © 2026 by IGI Global Scientific Publishing. All rights reserved.</t>
  </si>
  <si>
    <t>Wan Ali W.N.A.; Wan Yahaya W.A.J.</t>
  </si>
  <si>
    <t>10.4018/979-8-3373-5157-5.ch015</t>
  </si>
  <si>
    <t>https://www.scopus.com/inward/record.uri?eid=2-s2.0-105027496029&amp;doi=10.4018%2F979-8-3373-5157-5.ch015&amp;partnerID=40&amp;md5=1eaa061df0dac1e388c0b54df984b9ce</t>
  </si>
  <si>
    <t>All Open Access; Gold Open Access</t>
  </si>
  <si>
    <t>2-s2.0-105027496029</t>
  </si>
  <si>
    <t>Eliciting Co-Creation Best Practices of Virtual Reality Reusable e-Resources</t>
  </si>
  <si>
    <t>Immersive experiential technologies find fertile grounds to grow and support healthcare education. Virtual, Augmented, or Mixed reality (VR/AR/MR) have proven to be impactful in both the educational and the affective state of the healthcare student’s increasing engagement. However, there is a lack of guidance for healthcare stakeholders on developing and integrating virtual reality resources into healthcare training. Thus, the authors applied Bardach’s Eightfold Policy Analysis Framework to critically evaluate existing protocols to determine if they are inconsistent, ineffective, or result in uncertain outcomes, following systematic pathways from concepts to decision-making. Co-creative VR resource development resulted as the preferred method. Best practices for co-creating VR Reusable e-Resources identified co-creation as an effective pathway to the prolific use of immersive media in healthcare education. Co-creation should be considered in conjunction with a training framework to enhance educational quality. Iterative cycles engaging all stakeholders enhance educational quality, while co-creation is central to the quality assurance process both for technical and topical fidelity, and tailoring resources to learners’ needs. Co-creation itself is seen as a bespoke learning modality. This paper provides the first body of evidence for co-creative VR resource development as a valid and strengthening method for healthcare immersive content development. Despite prior research supporting co-creation in immersive resource development, there were no established guidelines for best practices. © 2023 by the authors.</t>
  </si>
  <si>
    <t>Antoniou P.E.; Pears M.; Schiza E.C.; Frangoudes F.; Pattichis C.S.; Wharrad H.; Bamidis P.D.; Konstantinidis S.T.</t>
  </si>
  <si>
    <t>10.3390/virtualworlds2010005</t>
  </si>
  <si>
    <t>https://www.scopus.com/inward/record.uri?eid=2-s2.0-105013882206&amp;doi=10.3390%2Fvirtualworlds2010005&amp;partnerID=40&amp;md5=66f33866ecd3b0f8cf1d4bc41a5834c4</t>
  </si>
  <si>
    <t>2-s2.0-105013882206</t>
  </si>
  <si>
    <t>Business Administration: An Introduction for Managers and Business Professionals</t>
  </si>
  <si>
    <t>The progress of several businesses was severely challenged through the advent of the COVID-19 pandemic, with several businesses collapsing globally. Apart from the pandemic, the business posture and dynamics of yesteryear has significantly changed, as the way business is conducted today, especially in this era of Industry 4.0 and the proliferation of technology-assisted processes, have created a new environment for doing business. Comparatively, yesterday’s businesses seemed to have been in the "dark," keeping itself within limited geographical locations, contacts, and markets. However, business today, with the technological boom, has created a global village with the advent of the World Wide Web and social media which is redefining the way business is conducted especially in product and service development, marketing and publicity, customer attraction and retention, scouting and recruitment, and so on. This book responds to contemporary calls for new ways of managing businesses with practitioner-oriented discourses on topical issues like business environments and how modern businesses can thrive in the same. It discusses in some detail the general composition of business environments, specific factors that influence the operations and decisions of a business within its environment, the level of control businesses have over the factors that operate within the business environment, and the need for businesses to be proactive and to strategise in order to take advantage of the opportunities the business environment presents as while minimising the negative effects some factors also present. The book provides practical applications while not losing sight of the theoretical underpinnings. Case studies have been provided to elucidate the theories learnt and provide practical application to real-life situations. Written in easy non-technical language, the book also has practice questions at the end, making it an easy instructional manual for business owners worldwide. It is also a brilliant text for introductory students of business administration and management and covers important business areas like types of business ownership and how to start a business. © 2024 Kwame Adom, Robert Ebo Hinson, Enoch Opare Mintah and Theresa Obuobisa-Darko.</t>
  </si>
  <si>
    <t>Adom K.; Hinson R.E.; Mintah E.O.; Obuobisa-Darko T.</t>
  </si>
  <si>
    <t>10.4324/9781003458524</t>
  </si>
  <si>
    <t>https://www.scopus.com/inward/record.uri?eid=2-s2.0-85176332777&amp;doi=10.4324%2F9781003458524&amp;partnerID=40&amp;md5=c86ffb979c051e977b28e96921ef9481</t>
  </si>
  <si>
    <t>2-s2.0-85176332777</t>
  </si>
  <si>
    <t>Transformative Practices in Tertiary Education: Bridging Theory and Practice</t>
  </si>
  <si>
    <t>Students in higher or adult education often face a wide array of challenges as they learn skills for transitioning to the workforce. They and their educators may encounter critical topics including emotional intelligence, student-educator relationships, and feedback mechanisms as well as employability skills. As a result, it is crucial for educators to foster and for students to learn teamwork skills, social-emotional skills, and strategies for teaching and learning to increase engagement. Thus, innovative approaches are needed to address the evolving needs of students, educators, and institutions that support students as well as the faculty. Transformative Practices in Tertiary Education: Bridging Theory and Practice empowers these diverse stakeholders with the knowledge and tools needed to transform higher education, making it more inclusive, effective, and responsive to the needs of today’s learners. It discusses methods for shaping educational policies and initiatives at various levels. Covering topics such as change navigation, global learning, and internships, this book is an excellent resource for educators, educational administrators, educational leaders, educational planners, policymakers, professional development facilitators, professionals, researchers, scholars, academicians, and more. © 2025 by IGI Global Scientific Publishing. All rights reserved.</t>
  </si>
  <si>
    <t>El-Kafafi S.O.</t>
  </si>
  <si>
    <t>https://www.scopus.com/inward/record.uri?eid=2-s2.0-105009797646&amp;partnerID=40&amp;md5=055f9d3c005398cc23c0de9af202829f</t>
  </si>
  <si>
    <t>2-s2.0-105009797646</t>
  </si>
  <si>
    <t>Modeling Programming Competency: A Qualitative Analysis</t>
  </si>
  <si>
    <t>This book covers a qualitative study on the programming competencies of novice learners in higher education. To be precise, the book investigates the expected programming competencies within basic programming education at universities and the extent to which the Computer Science curricula fail to provide transparent, observable learning outcomes and assessable competencies. The study analyzes empirical data on 35 exemplary universities' curricula and interviews with experts in the field. The book covers research desiderata, research design and methodology, an in-depth data analysis, and a presentation and discussion of results in the context of programming education. Addressing programming competency in such great detail is essential due to the increasing relevance of computing in today’s society and the need for competent programmers who will help shape our future. Although programming is a core tier of computing and many related disciplines, learning how to program can be challenging in higher education, and many students fail in introductory programming. The book aims to understand what programming means, what programming competency encompasses, and what teachers expect of novice learners. In addition, it illustrates the cognitive complexity of programming as an advanced competency, including knowledge, skills, and dispositions in context. So, the purpose is to communicate the breadth and depth of programming competency to educators and learners of programming, including institutions, curriculum designers, and accreditation bodies. Moreover, the book’s goal is to represent how a qualitative research methodology can be applied in the context of computing education research, as the qualitative research paradigm is still an exception in computing education research. The book provides new insights into programming competency. It outlines the components of programming competencies in terms of knowledge, skills, and dispositions and their cognitive complexity according to the CC2020 computing curricula and the Anderson-Krathwohl taxonomy of the cognitive domain. These insights are essential as programming constitutes one of the most relevant competencies in all computing study programs. In addition, being able to program describes the capability of solving problems, which is also a core competency in today’s increasingly digitalized society. In particular, the book reveals the great relevance of dispositions and other competency components in programming education, which curricula currently fail to recognize and specify. In addition, the book outlines the resulting implications for higher education institutions, educators, and student expectations. Yet another result of interest to graduate students is the multi-method study design that allows for the triangulation of data and results. © The Editor(s) (if applicable) and The Author(s), under exclusive license to Springer Nature Switzerland AG 2024.</t>
  </si>
  <si>
    <t>Kiesler N.</t>
  </si>
  <si>
    <t>10.1007/978-3-031-47148-3</t>
  </si>
  <si>
    <t>https://www.scopus.com/inward/record.uri?eid=2-s2.0-85182923420&amp;doi=10.1007%2F978-3-031-47148-3&amp;partnerID=40&amp;md5=34f6b059854a6bc4b4d051374bcf760b</t>
  </si>
  <si>
    <t>2-s2.0-85182923420</t>
  </si>
  <si>
    <t>Managing the Drug Discovery Process: Insights and advice for students, educators, and practitioners, Second Edition</t>
  </si>
  <si>
    <t>Managing the Drug Discovery Process, Second Edition thoroughly examines the current state of pharmaceutical research and development by providing experienced perspectives on biomedical research, drug hunting and innovation, including the requisite educational paths that enable students to chart a career path in this field. The book also considers the interplay of stakeholders, consumers, and drug firms with respect to a myriad of factors. Since drug research can be a high-risk, high-payoff industry, it is important to students and researchers to understand how to effectively and strategically manage both their careers and the drug discovery process. This new edition takes a closer look at the challenges and opportunities for new medicines and examines not only the current research milieu that will deliver novel therapies, but also how the latest discoveries can be deployed to ensure a robust healthcare and pharmacoeconomic future. All chapters have been revised and expanded with new discussions on remarkable advances including CRISPR and the latest gene therapies, RNA-based technologies being deployed as vaccines as well as therapeutics, checkpoint inhibitors and CAR-T approaches that cure cancer, diagnostics and medical devices, entrepreneurship, and AI. Written in an engaging manner and including memorable insights, this book is aimed at anyone interested in helping to save countless more lives through science. A valuable and compelling resource, this is a must-read for all students, educators, practitioners, and researchers at large—indeed, anyone who touches this critical sphere of global impact—in and around academia and the biotechnology/pharmaceutical industry. © 2023 Elsevier Ltd. All rights reserved.</t>
  </si>
  <si>
    <t>Miller S.; Moos W.; Munk B.; Munk S.; Hart C.; Spellmeyer D.</t>
  </si>
  <si>
    <t>10.1016/C2020-0-01031-5</t>
  </si>
  <si>
    <t>https://www.scopus.com/inward/record.uri?eid=2-s2.0-85161817448&amp;doi=10.1016%2FC2020-0-01031-5&amp;partnerID=40&amp;md5=ae104de89175a560a02c8ccb1381ed48</t>
  </si>
  <si>
    <t>2-s2.0-85161817448</t>
  </si>
  <si>
    <t>Learning Vocabulary in Another Language</t>
  </si>
  <si>
    <t>Vocabulary is now well recognized as an important focus in language teaching and learning. Now in its third edition, this book provides an engaging, authoritative guide to the teaching and learning of vocabulary in another language. It contains descriptions of numerous vocabulary learning strategies, which are supported by reference to experimental research, case studies, and teaching experience. It also describes what vocabulary learners need to know to be effective language users. This new edition has been updated to incorporate the wealth of research that has come out of the past decade. It also includes a new chapter on out of-classroom learning, which explores the effect of the Internet and electronic resources on learning. This vital resource for all vocabulary researchers shows that by taking a systematic approach to vocabulary learning, teachers can make the best use of class time and help learners get the best return for their learning effort. • Covers over one hundred years of research on vocabulary and critically assesses what we know and what we need to know about the field • Based around a small set of well-supported principles of learning • Revised and updated, including a new chapter on out-of-class learning. © I. S. P. Nation 2022. All rights reserved.</t>
  </si>
  <si>
    <t>Nation I.S.P.</t>
  </si>
  <si>
    <t>10.1017/9781009093873</t>
  </si>
  <si>
    <t>https://www.scopus.com/inward/record.uri?eid=2-s2.0-105024931227&amp;doi=10.1017%2F9781009093873&amp;partnerID=40&amp;md5=6fca6fcc685a301d530132e2df19e325</t>
  </si>
  <si>
    <t>2-s2.0-105024931227</t>
  </si>
  <si>
    <t>Short-cut Demand Elasticities and Other Convenient Approaches to Consumer Demand</t>
  </si>
  <si>
    <t>This book provides answers to analysts' need to know about elasticities of demand, with a unique two-track approach. The first gives a self-contained, non-technical rendition, accessible to those with limited background. The second track contains the underlying theory, derivations, and some more advanced material. Subsequent chapters deal with the demand for food and other groups of goods, the system-wide approach, and the demand side of EDM and CGE models. This convenient source book will be valuable to students, consultants, business economists and government policy analysts. Clarity of exposition and economic intuition is emphasised throughout. "In this remarkable book, the authors bridge the gap between sophisticated consumer demand theory and the practical world of economic modeling. Their guidance will be invaluable to anyone aiming to shed light on the economic impact of public policies." © 2025 The Editor(s) (if applicable) and The Author(s), under exclusive license to Springer Nature Singapore Pte Ltd.</t>
  </si>
  <si>
    <t>Clements K.W.; Liu H.; Mariano M.J.M.; Selvanathan E.A.; Selvanathan S.; Verikios G.</t>
  </si>
  <si>
    <t>10.1007/978-981-96-3588-7</t>
  </si>
  <si>
    <t>https://www.scopus.com/inward/record.uri?eid=2-s2.0-105022960242&amp;doi=10.1007%2F978-981-96-3588-7&amp;partnerID=40&amp;md5=66cb06a72be0b5c4208105a086ea25bc</t>
  </si>
  <si>
    <t>2-s2.0-105022960242</t>
  </si>
  <si>
    <t>Gendered Positions in Technology Education: A Discourse Analysis of Images From Swedish and Finnish Upper Secondary Schools</t>
  </si>
  <si>
    <t>Inclusivity in education is one of the fundamental objectives of the Swedish national curriculum for compulsory schooling. The accessibility of STEM education to students of different genders is essential in achieving this objective. This paper studies the images Swedish and Finnish upper secondary schools used to promote their university preparatory educational orientations, applying discourse analysis to the body of images. As the discourses imbue the orientations, certain positions are enabled for pupils. These positions prescribe who and what is seen as natural in the orientations. We find substantial differences in how the discourses are represented in the orientations. In the STEM orientations, pupils are constructed as less social than the other orientations. In the images from the technology programme, female pupils have a higher representation than actual enrolment, but in these images, they are less active than their male peers. Moreover, the female technology pupil is positioned as engaged with more creative technology subfields while their male peers engage with electronic experiments. This positioning of the female technology pupil is rather conditioning her presence than creating an attractive educational trajectory for her to assume. © 2025 The Author(s). Journal of Research in Science Teaching published by Wiley Periodicals LLC on behalf of National Association for Research in Science Teaching.</t>
  </si>
  <si>
    <t>Svozil L.B.; Andersson K.; Pears A.</t>
  </si>
  <si>
    <t>10.1002/tea.22031</t>
  </si>
  <si>
    <t>https://www.scopus.com/inward/record.uri?eid=2-s2.0-85217070185&amp;doi=10.1002%2Ftea.22031&amp;partnerID=40&amp;md5=adb3dfd7c24c62ba7dcdb90609d95c31</t>
  </si>
  <si>
    <t>All Open Access; Hybrid Gold Open Access</t>
  </si>
  <si>
    <t>2-s2.0-85217070185</t>
  </si>
  <si>
    <t>EDI barriers to university-level student participation in work based learning in Geography, Earth and Environmental Sciences: the UK employer’s perspective</t>
  </si>
  <si>
    <t>The purpose of this paper is to explore the employer’s view of barriers to student participation in Work Based Learning within Geography, Earth and Environmental Sciences. Semi-structured interviews were conducted with employers who had hosted short term (12-week placements) used to identify barriers for both students and employers in the provision of WBL. Employers were generally aware of the practical barriers that faced students, such as finance and networks, but had less understanding or awareness of cultural issues or of their role as an employer in providing equitable access. Employers also faced barriers which varied with the size and type of employer with greater challenges in relation to recruitment and providing in-placement support facing SMEs, charities and community organisations. The study highlighted repeatedly the importance of partnerships between University and Employer and provision of embedded WBL in the curriculum can address some of the barriers identified. The findings provide evidence of continuing issues with equity of access to WBL which can be used to guide future working partnerships between HE and employers of all sizes. © 2026 The Author(s). Published by Informa UK Limited, trading as Taylor &amp; Francis Group.</t>
  </si>
  <si>
    <t>Batty L.C.; Lindstrom N.; Edwards M.J.; Khan A.; Wayman J.</t>
  </si>
  <si>
    <t>10.1080/03098265.2026.2627604</t>
  </si>
  <si>
    <t>https://www.scopus.com/inward/record.uri?eid=2-s2.0-105029863285&amp;doi=10.1080%2F03098265.2026.2627604&amp;partnerID=40&amp;md5=9544ac42ce1549436eacb65843c9581d</t>
  </si>
  <si>
    <t>2-s2.0-105029863285</t>
  </si>
  <si>
    <t>Experiential learning implementation in undergraduate engineering education: a systematic search and review</t>
  </si>
  <si>
    <t>Experiential learning (EL) is a process of learning through doing, while experiential education incorporates the pedagogies and structures that support this process. As the benefits of EL have become more evident, experiential engineering education (EEE) efforts like design courses, have increasingly been integrated into undergraduate curricula. However, few efforts have examined the research approaches used to determine the impact of EEE on student learning outcomes. This review examines how EL has been implemented and evaluated in previous undergraduate engineering education publications by performing a systematic search and critical review of relevant articles. Results indicate that a majority of articles study EL and education within the context of one course and employ course evaluation methods in line with goals of the Scholarship of Teaching and Learning research community. Suggestions for future research on EL and education that will allow for a broader understanding of its impact in engineering education are provided. © 2022 SEFI.</t>
  </si>
  <si>
    <t>Jamison C.S.E.; Fuher J.; Wang A.; Huang-Saad A.</t>
  </si>
  <si>
    <t>10.1080/03043797.2022.2031895</t>
  </si>
  <si>
    <t>https://www.scopus.com/inward/record.uri?eid=2-s2.0-85124958852&amp;doi=10.1080%2F03043797.2022.2031895&amp;partnerID=40&amp;md5=53bd482b6502d3374913b091485f1e12</t>
  </si>
  <si>
    <t>2-s2.0-85124958852</t>
  </si>
  <si>
    <t>Experience Report on Improving Software Engineering Education</t>
  </si>
  <si>
    <t>Improving and adapting strategies to teach Software Engineering (SE) insights is one of the primary goals of SE schools. Every year, we come up with plenty of studies that provide suggestions and guidelines on improving teaching methods, problem-solving strategies, and curriculum design. On the other hand, we do not know how the world's top-notch universities focus on the process and academic improvement. This study shares our experience while investigating the Tsinghua University (QS World ranked 17)1, School of Software process and providing an initial guideline for further improvement. In this study, we, first, aim to gather suggestions and guidelines given in the literature. Secondly, we observe and analyze the feedback given by external reviewers and, as an example, map those feedback-augmented findings and suggestions onto school processes. Lastly, we suggest how the software school can further enhance the teaching strategies, curriculum design, and problem solving skills. © 2021 IEEE.</t>
  </si>
  <si>
    <t>Yasin A.; Fatima R.; Liu L.; Wei Z.; Jianmin W.</t>
  </si>
  <si>
    <t>10.1109/ICIC53490.2021.9693061</t>
  </si>
  <si>
    <t>https://www.scopus.com/inward/record.uri?eid=2-s2.0-85126672383&amp;doi=10.1109%2FICIC53490.2021.9693061&amp;partnerID=40&amp;md5=a70140249ff4fc5e5834c168e4786777</t>
  </si>
  <si>
    <t>2-s2.0-85126672383</t>
  </si>
  <si>
    <t>WIP: A Systematic Approach to Screen and Align Service-Learning Projects for Optimal Student Outcomes</t>
  </si>
  <si>
    <t>This innovative practice work in progress paper presents a systematic approach for screening and aligning service-learning projects that maximize student learning outcomes. We introduce a feasibility assessment model with criteria evaluated through a standardized rubric that guides instructors to critically assess the project fit to help in proactively identifying risks to student outcomes. The rubric serves a dual purpose: guiding the assessment process and prompting discussions with potential project partners. These discussions elicit crucial details about the project scope, potential challenges, and other critical factors. This not only facilitates effective project selection but also allows for necessary adjustments to project parameters, significantly improving the chances of successful student completion. This work builds on the experience accumulated by CCSU's Software Engineering Studio which connects community project partners with teams of 4-5 seniors working on software development projects spanning one or several semesters. Since 2014, the Software Engineering Studio has facilitated over 65 distinct projects and engaged over 550 students. By capturing the lessons learned across a wide range of successful service-learning projects, we show the value of using a feasibility assessment model to evaluate potential projects based on criteria including alignment with course goals, student skill sets, workload manage-ability, educational engagement, and other considerations. The application of this model is illustrated with a case study, which demonstrates how this model helps instructors align projects with academic goals while considering scope, risks, and other critical elements. This example demonstrates how the model facilitates communication with project partners, identifies potential risks, and guides project adjustments to ensure a successful learning experience for students. The approach is transferable to other disciplines with adaptations for project types and student skills. This work contributes to the field of service learning by offering a practical framework for integrating valuable real-world projects into the curriculum while prioritizing student learning outcomes. © 2024 IEEE.</t>
  </si>
  <si>
    <t>Williams C.A.; Kurkovsky S.; Goldweber M.; Sommer N.</t>
  </si>
  <si>
    <t>10.1109/FIE61694.2024.10893515</t>
  </si>
  <si>
    <t>https://www.scopus.com/inward/record.uri?eid=2-s2.0-105000614478&amp;doi=10.1109%2FFIE61694.2024.10893515&amp;partnerID=40&amp;md5=92bf26270b9c6fe06b1257d13021585b</t>
  </si>
  <si>
    <t>2-s2.0-105000614478</t>
  </si>
  <si>
    <t>Strategic cyber security management</t>
  </si>
  <si>
    <t>This textbook places cyber security management within an organizational and strategic framework, enabling students to develop their knowledge and skills for a future career. The reader will learn to: evaluate different types of cyber risk; carry out a threat analysis and place cyber threats in order of severity; formulate appropriate cyber security management policy; establish an organization-specific intelligence framework and security culture; devise and implement a cyber security awareness programme; integrate cyber security within an organization's operating system; Learning objectives, chapter summaries and further reading in each chapter provide structure and routes to further in-depth research. Firm theoretical grounding is coupled with short problem-based case studies reflecting a range of organizations and perspectives, illustrating how the theory translates to practice, with each case study followed by a set of questions to encourage understanding and analysis. Non-technical and comprehensive, this textbook shows final year undergraduate students and postgraduate students of Cyber Security Management, as well as reflective practitioners, how to adopt a pro-active approach to the management of cyber security. Online resources include PowerPoint slides, an instructor's manual and a test bank of questions. © 2023 Peter Trim and Yang-Im Lee. All rights reserved.</t>
  </si>
  <si>
    <t>Trim P.; Lee Y.-I.</t>
  </si>
  <si>
    <t>10.4324/9781003244295</t>
  </si>
  <si>
    <t>https://www.scopus.com/inward/record.uri?eid=2-s2.0-85144592462&amp;doi=10.4324%2F9781003244295&amp;partnerID=40&amp;md5=350c11bead5d6f4ad86228baffe7e217</t>
  </si>
  <si>
    <t>2-s2.0-85144592462</t>
  </si>
  <si>
    <t>Educational Expertise: Faculty Insights on Preparing Computing Students to Navigate Technical Interviews</t>
  </si>
  <si>
    <t>Obtaining a computing position can entail hiring practices distinct from other domains in that they frequently involve technical interviews, an approach which emphasizes real-time evaluation of programming abilities. Apart from requiring that job candidates find the correct solution, they are also encouraged to find one that is efficient and optimal while also speaking through their thinking. Although computing students may be familiar with the theoretical and foundational topics necessary to succeed, traversing the employment process may be particularly daunting and necessitate immense preparation. To better understand how education may enhance students' readiness, we conducted a focus group with (n = 7) faculty members from around the United States. We applied social cognitive career theory as we explored: 1) learning experiences that educators may incorporate into courses; and 2) actions perceived as necessary for institutions to enhance students' technical interview performance and career attainment. We employed thematic analysis to assess their responses and suggestions on ways forward. Within courses, three themes emerged, as educators described opportunities for “fostering professional skills” (e.g., communication and teamwork) and “fostering technical skills” (e.g., use of tools, programming problem decomposition, and testing). They also spoke about job preparation, including utilizing role play in the context of mock interviews and the value of “application material development” (e.g., cover letters, resumes). When considering the broader institutional actions, two themes emerged: “supportive practices” and “technical interview and career knowledge.” Participants touched on the possibility of faculty receiving training themselves, since often they stayed in academia without applying for an industry position and were unfamiliar with expectations to advise students on what to anticipate. They also highlighted the value of industry partnerships and student organizations for hiring preparation and networking. Meanwhile, several suggested that existing services, including platforms and/or groups that were already offering mock interviews or training (e.g., Big Interview, Brilliant Black Minds) could provide students with additional awareness and practice to feel more comfortable with what to expect. It is our goal that the findings and recommendations made in this paper encourage other faculty to recognize how they could further aid in students' preparation and integrate it into lessons. Beyond that, we hope that educators and administrators consider possible ways to aid in computing students' understanding of technical interviews and seek to enhance their graduate employability. © American Society for Engineering Education, 2024.</t>
  </si>
  <si>
    <t>Lunn S.J.; Dillon E.; Sadid Z.A.</t>
  </si>
  <si>
    <t>https://www.scopus.com/inward/record.uri?eid=2-s2.0-85202070838&amp;partnerID=40&amp;md5=541831a55febfb8390cf4340bcbb1d15</t>
  </si>
  <si>
    <t>2-s2.0-85202070838</t>
  </si>
  <si>
    <t>Exploring the uptake of advanced digital technologies in environmental assessment practice - Experiences from Austria and Germany</t>
  </si>
  <si>
    <t>Environmental assessment (EA) evaluates the environmental impacts of proposed projects, plans or policies to inform decision making. While several studies have highlighted the potential and opportunities of digitalisation for EA, few have explored practitioners' perceptions using a mixed methods approach in order to discover concerns and risks identified by EA of novel technological approaches. In addition, this initial exploratory study examines the perception of benefits and contributions to quality and effectiveness of advanced digital approaches, such as the introduction of artificial intelligence, in EA practice. The research process was based on focus group discussions and exploratory interviews with EA consultants, environmental authorities, researchers, environmental associations and NGOs. Relevant technologies were identified from the existing scientific literature and their applicability, benefits and use were discussed in context of real-world experience made by the practitioner. It became evident that the majority of practitioners in the field of EA in Austria and Germany are not familiar with advanced digital approaches and tools. While other planning disciplines are exploiting the potential of advanced digital tools, EA practitioners still share concerns about data quality, security, legal uncertainties, but also skills and know-how. The study identifies a gap and a need for training and confidence building. It aims to contribute to the promotion of inter- &amp; transdisciplinary exchange involving the wider EA community. © 2024 The Author(s)</t>
  </si>
  <si>
    <t>Uhlhorn B.; Geißler G.; Jiricka-Pürrer A.</t>
  </si>
  <si>
    <t>10.1016/j.jenvman.2024.121412</t>
  </si>
  <si>
    <t>https://www.scopus.com/inward/record.uri?eid=2-s2.0-85195814266&amp;doi=10.1016%2Fj.jenvman.2024.121412&amp;partnerID=40&amp;md5=7b05a90ef7823248e810c4eed9c39bad</t>
  </si>
  <si>
    <t>2-s2.0-85195814266</t>
  </si>
  <si>
    <t>An evaluation of public policy student placements: outcomes of a Malta-based study</t>
  </si>
  <si>
    <t>Purpose: The purpose of this paper is to evaluate short-term, unpaid placements offered to students reading for a degree in public policy. They provide added value to their tertiary education experience. Elective placements were offered in 2012 and became a mandatory requirement for students reading for a three-year bachelor of commerce degree in public policy in 2018. To date, no research has been carried out on these placements and this may serve as a model for a post-evaluation assessment. Design/methodology/approach: Data were collected from students who undertook placements, embedded in the public policy undergraduate programme. A document analysis of selected student and placement provider's reports was carried out to complement the students' responses to an online questionnaire. Findings: Placements are of value to students as they served as an introduction to the working world. They enable students to establish connections with the course content and carry out research. They were exposed to real-life situations, developing their knowledge, acquiring soft skills and learning new tools, sought after by employers. These placements were valued as a route to graduate employment tailor-made to the degree's requirements. Students were able to embark on a soul-searching, introspective discovery and journey which made them mature and shed light in the direction of future work prospects. Research limitations/implications: Placements give students the opportunity to gain insights into real-work environments and are able to link theories learnt in the class-room with real-life situations. Placements have positive implications on students adjusting to their work life easily after graduation. The limitations are that the sample size was small and that the reflective reports which were randomly selected may not have necessarily been representative of the full complement. Practical implications: The practical implications are that the placements system and process can easily be implemented and replicated in other academic disciplines and universities as a compulsory component of their studies. Social implications: Placements gave students the opportunity to reflect on their learning, develop non-technical skills and enhance their confidence levels. They were also able to network and communicate with different employees. Originality/value: Placements provided exposure to relevant organisations and personal enrichment in terms of acquiring skills, autonomy and independence. Students with placement experience are also more likely to secure future employment, relevant to their undergraduate degree. © 2021, Emerald Publishing Limited.</t>
  </si>
  <si>
    <t>Thake A.M.</t>
  </si>
  <si>
    <t>10.1108/HESWBL-07-2020-0172</t>
  </si>
  <si>
    <t>https://www.scopus.com/inward/record.uri?eid=2-s2.0-85106208621&amp;doi=10.1108%2FHESWBL-07-2020-0172&amp;partnerID=40&amp;md5=e3c522961e71a4cfe6ce45f356908f15</t>
  </si>
  <si>
    <t>2-s2.0-85106208621</t>
  </si>
  <si>
    <t>The development of an escape room–based serious game to trigger social interaction and communication between high-functioning children with autism and their peers: Iterative design approach</t>
  </si>
  <si>
    <t>Background: Children with autism spectrum disorder (ASD) have social deficits that affect social interactions, communication, and relationships with peers. Many existing interventions focus mainly on improving social skills in clinical settings. In addition to the direct instruction–based programs, activity-based programs could be of added value, especially to bridge the relational gap between children with ASD and their peers. Objective: The aim of this study is to describe an iterative design process for the development of an escape room–based serious game as a boundary object. The purpose of the serious game is to facilitate direct communication between high-functioning children with ASD and their peers, for the development of social skills on the one hand and strengthening relationships with peers through a fun and engaging activity on the other hand. Methods: This study is structured around the Design Research Framework to develop an escape room through an iterative-incremental process. With a pool of 37 children, including 23 children diagnosed with ASD (5 girls) and 14 children (7 girls) attending special primary education for other additional needs, 4 testing sessions around different prototypes were conducted. The beta prototype was subsequently reviewed by experts (n=12). During the design research process, we examined in small steps whether the developed prototypes are feasible and whether they have the potential to achieve the formulated goals of different stakeholders. Results: By testing various prototypes, several insights were found and used to improve the design. Insights were gained in finding a fitting and appealing theme for the children, composing the content, and addressing different constraints in applying the goals from the children’s and therapeutic perspectives. Eventually, a multiplayer virtual escape room, AScapeD, was developed. Three children can play the serious game in the same room on tablets. The first test shows that the game enacts equal cooperation and communication among the children. Conclusions: This paper presents an iterative design process for AScapeD. AScapeD enacts equal cooperation and communication in a playful way between children with ASD and their peers. The conceptual structure of an escape room contributes to the natural emergence of communication and cooperation. The iterative design process has been beneficial for finding a constructive game structure to address all formulated goals, and it contributed to the design of a serious game as a boundary object that mediates the various objectives of different stakeholders. We present 5 lessons learned from the design process. The developed prototype is feasible and has the potential to achieve the goals of the serious game. © Gijs Terlouw, Derek Kuipers, Job van 't Veer, Jelle T Prins, Jean Pierre E N Pierie.</t>
  </si>
  <si>
    <t>Terlouw G.; Kuipers D.; Van't Veer J.; Prins J.T.; Pierie J.P.E.N.</t>
  </si>
  <si>
    <t>e19765</t>
  </si>
  <si>
    <t>10.2196/19765</t>
  </si>
  <si>
    <t>https://www.scopus.com/inward/record.uri?eid=2-s2.0-85103627379&amp;doi=10.2196%2F19765&amp;partnerID=40&amp;md5=efbb3a49e8ee7aa4428c4c94b15386fa</t>
  </si>
  <si>
    <t>2-s2.0-85103627379</t>
  </si>
  <si>
    <t>Social Media, Mobile and Cloud Technology Use in Accounting: Value-Analyses in Developing Economies</t>
  </si>
  <si>
    <t>The rapidly evolving nature of emerging technologies, and the transformative and disruptive tendencies offered by these are reshaping professional activities, operations and functions as well as value creation. © 2020 Emerald Publishing Limited.</t>
  </si>
  <si>
    <t>Oladele F.; Oyewole T.G.</t>
  </si>
  <si>
    <t>10.1108/9781839821608</t>
  </si>
  <si>
    <t>https://www.scopus.com/inward/record.uri?eid=2-s2.0-85144381352&amp;doi=10.1108%2F9781839821608&amp;partnerID=40&amp;md5=dc2bbc2633a55de8ef2c7679515f2b32</t>
  </si>
  <si>
    <t>2-s2.0-85144381352</t>
  </si>
  <si>
    <t>Peer and Faculty Assessment of Nontraditional Discipline-Independent Skills in Gross Anatomy</t>
  </si>
  <si>
    <t>Quality improvement and patient safety remain at the forefront of healthcare delivery. Literature highlights the importance of nontechnical skills in healthcare and reinforces that improvement in their use requires practice and repetition. Studies in surgical environment show that nontechnical skills are linked to surgical skills (technical skills) especially when evaluated during intraoperative crisis management situations. As organizations continue to seek opportunities to build on these skills through formal training sessions, medical educators share the responsibility by finding opportunities within medical curricula to promote early development of such nontraditional discipline-independent skills. In this chapter, we provide insight into understanding nontraditional discipline-independent skills and how it relates to anatomy education. Nontraditional discipline-independent skills focus on team interaction, communication, leadership, and other aspects of professionalism. We highlight opportunities for integration of these skills within the anatomy curriculum and describe how to guide students, through the peer evaluation process, to identify good work ethic in the laboratory and opportunities for assessment of cognitive and social skills. Ways by which these skills may be evaluated in a team-based learning environment and contribute to overall student performance are also discussed. © Springer Nature Switzerland AG 2020</t>
  </si>
  <si>
    <t>Lachman N.; Pawlina W.</t>
  </si>
  <si>
    <t>10.1007/978-3-030-43283-6_41</t>
  </si>
  <si>
    <t>https://www.scopus.com/inward/record.uri?eid=2-s2.0-105013367514&amp;doi=10.1007%2F978-3-030-43283-6_41&amp;partnerID=40&amp;md5=edb22529fb07060fd89aeced00596e08</t>
  </si>
  <si>
    <t>2-s2.0-105013367514</t>
  </si>
  <si>
    <t>Employer perspectives on hiring entry-level geoscientists: Essential knowledge, skills, dispositions, and their assessment</t>
  </si>
  <si>
    <t>The transition from an undergraduate degree program to the workforce can be challenging for recent geoscience graduates, as they must acquire the appropriate skills, effectively search for open positions, and communicate their qualifications to potential employers. We conducted interviews with 16 geoscience employers from three sectors (extractive industries, government, scientific and technical services) to determine which skills are most important to employers when hiring entry-level geoscientists, and how they find and assess those qualities in applicants. Participants assumed applicants with bachelor’s degrees would have broad geoscience background knowledge and be familiar with the language of the discipline. Participants emphasized the importance of communication and field skills, in alignment with the frequent appearance of these skills in job ads, and they expected to train new employees on job-specific skills. Equally important, are dispositions like collaboration, a desire to learn, and flexibility which are less frequently mentioned in ads. Most participants relied on online job ads and used word of mouth and personal connections to recruit applicants. Employers assess candidates throughout the application process, including informal interactions like emails, formal application materials including resumes and cover letters, interviews, and practical exercises in which candidates were expected to demonstrate desired skills. These results lead to recommendations for integrating workforce preparation across undergraduate geoscience programs to better support students’ successful transition into the workforce. © 2026 The Author(s). Published with license by Taylor &amp; Francis Group, LLC.</t>
  </si>
  <si>
    <t>Viskupic K.; Egger A.E.; Shafer G.W.</t>
  </si>
  <si>
    <t>10.1080/10899995.2026.2617379</t>
  </si>
  <si>
    <t>https://www.scopus.com/inward/record.uri?eid=2-s2.0-105028195172&amp;doi=10.1080%2F10899995.2026.2617379&amp;partnerID=40&amp;md5=cb7a7b12a42fa92bb1c9677ee3ad5754</t>
  </si>
  <si>
    <t>2-s2.0-105028195172</t>
  </si>
  <si>
    <t>Development and Validation of a Scenario-Based Drilling Simulator for Training and Evaluating Human Factors</t>
  </si>
  <si>
    <t>Drilling and completing an oil/gas well is a time-sensitive and high-value operation, in which environment/system parameters change in unseen, unpredictable environments. Safety issues arise at every stage. Drilling principles can be taught using traditional methods, but safety and event response are difficult to teach in such formats. Here, in this article, we integrate a hardware-in-the-loop simulator, downhole physics, and auxiliary touchscreen interfaces (similar to a rig's add-on equipment) to develop a realistic, real-time drilling simulator for well control operation training. Realistic operational data are supplied to the simulator representative of downhole operations, including unplanned well events. The well plan accounts for drilling parameter changes, the pore-pressure fracture-gradient drilling window, mud weights, etc., which occur in response to the unplanned events. The developed simulator is used for hands-on training, human factor studies, model verification, and evaluating new auxiliary equipment and/or operational procedures. A critical research objective was evaluating the accuracy/realism of the developed system. To do so, eight petroleum engineering students and 11 certified drillers were trained and asked to complete a comprehensive (&gt;6 h) drilling operation. System accuracy was measured by comparing how new versus experienced operators learned to operate the simulator, execute mission-critical tasks, and respond to unplanned events. The results validate the realism of the developed simulator and scenarios, since personnel with prior drilling experience took significantly less time to master the system. © 2013 IEEE.</t>
  </si>
  <si>
    <t>Chan H.-C.; Lee M.M.; Saini G.S.; Pryor M.; Van Oort E.</t>
  </si>
  <si>
    <t>10.1109/THMS.2020.2969014</t>
  </si>
  <si>
    <t>https://www.scopus.com/inward/record.uri?eid=2-s2.0-85079891448&amp;doi=10.1109%2FTHMS.2020.2969014&amp;partnerID=40&amp;md5=4a36e504e87000ce5512787a1655bb37</t>
  </si>
  <si>
    <t>2-s2.0-85079891448</t>
  </si>
  <si>
    <t>INTEGRATING HUMAN AND ARTIFICIAL INTELLIGENCE: Software in the Age of AI</t>
  </si>
  <si>
    <t>This timely book captures recent developments in artificial intelligence (AI) and their far-reaching implications across education, cognition, business, healthcare, and environmental sectors. Drawing from current academic research, government reports, and industry insights, Integrating Human and Artificial Intelligence provides a comprehensive yet accessible overview of the rapid evolution of AI. It helps readers understand in non-technical terms what AI is, what it is capable of achieving, and how to combine the best skills of artificial and human intelligence to develop a human-centered AI. This will be vital to overcome challenges to protect data privacy, promote fairness, minimize bias, and be culturally responsive. The book’s broad scope and contemporary focus make it a welcome addition to the field, especially as an educational resource introducing students and practitioners to the practical applications and societal impact of AI. Well-grounded in recent scholarship, this book will be particularly valuable for students and researchers of cognitive psychology, AI, and technology. © 2026 Stephen K. Reed.</t>
  </si>
  <si>
    <t>Reed S.K.</t>
  </si>
  <si>
    <t>10.4324/9781003632351</t>
  </si>
  <si>
    <t>https://www.scopus.com/inward/record.uri?eid=2-s2.0-105016623093&amp;doi=10.4324%2F9781003632351&amp;partnerID=40&amp;md5=5974bfe5bea0473c6affd0cc8a0f7e36</t>
  </si>
  <si>
    <t>2-s2.0-105016623093</t>
  </si>
  <si>
    <t>Developmental Psychopathology: Concepts, Methods, and Findings</t>
  </si>
  <si>
    <t>This book addresses the question of whether or not behavioural differences between children can be most appropriately characterised by dimensions of psychological problems or by categorical diagnoses. It describes the concepts and methods that have been developed and applied within developmental psychopathology using this dimensional approach. The book reviews evidence on the interplay between genes and the environment in influencing internalising problems, externalising problems, Attention Deficit Hyperactivity Disorder (ADHD) and Autism Spectrum Disorder (ASD), and on the hierarchical factor structure underlying these behavioural dimensions. It provides an appraisal of the state of knowledge on the longer-term sequelae of these problems and on the efficacy of treatments that have been developed for them.Key areas of coverage include: Multivariate data analytic methods for investigating behavioural differences (e.g., path analysis, cluster analysis, structural equation modelling, network analysis) and their associated theoretical frameworks (e.g., hierarchical factor models). Methods to investigate the biology of behavioural differences (e.g., quantitative and molecular genetics, epigenetics, and brain imaging). The design of research studies that can test most directly for causality (i.e., randomised controlled trials) and others that can estimate plausible causal relationships from associations and correlations. Reviews of studies that have applied these methods to understand the developmental course of internalising and externalising behaviours and the neurodevelopmental problems of Attention Deficit Hyperactivity Disorder (ADHD) and Autism Spectrum Disorder (ASD). Developmental Psychopathology is an essential reference for researchers, professors, and graduate students as well as clinicians and other professionals in developmental psychology, clinical child and school psychology, child and adolescentpsychiatry, paediatrics, clinical social work, public health, educational psychology, and all related disciplines. © The Editor(s) (if applicable) and The Author(s), under exclusive license to Springer Nature Switzerland AG 2023.</t>
  </si>
  <si>
    <t>Stevenson J.</t>
  </si>
  <si>
    <t>10.1007/978-3-031-45787-6</t>
  </si>
  <si>
    <t>https://www.scopus.com/inward/record.uri?eid=2-s2.0-85205351931&amp;doi=10.1007%2F978-3-031-45787-6&amp;partnerID=40&amp;md5=aea884e9e87af6311f2618b8d094c0c2</t>
  </si>
  <si>
    <t>2-s2.0-85205351931</t>
  </si>
  <si>
    <t>Developing Public Health Emergency Response Leaders in Incident Management: A Scoping Review of Educational Interventions</t>
  </si>
  <si>
    <t>During emergency responses, public health leaders frequently serve in incident management roles that differ from their routine job functions. Leaders' familiarity with incident management principles and functions can influence response outcomes. Therefore, training and exercises in incident management are often required for public health leaders. To describe existing methods of incident management training and exercises in the literature, we queried 6 English language databases and found 786 relevant articles. Five themes emerged: (1) experiential learning as an established approach to foster engaging and interactive learning environments and optimize training design; (2) technology-aided decision support tools are increasingly common for crisis decision-making; (3) integration of leadership training in the education continuum is needed for developing public health response leaders; (4) equal emphasis on competency and character is needed for developing capable and adaptable leaders; and (5) consistent evaluation methodologies and metrics are needed to assess the effectiveness of educational interventions. These findings offer important strategic and practical considerations for improving the design and delivery of educational interventions to develop public health emergency response leaders. This review and ongoing real-world events could facilitate further exploration of current practices, emerging trends, and challenges for continuous improvements in developing public health emergency response leaders. ©</t>
  </si>
  <si>
    <t>Li Y.; Hsu E.B.; Pham N.; Davis X.M.; Podgornik M.N.; Trigoso S.M.</t>
  </si>
  <si>
    <t>10.1017/dmp.2021.164</t>
  </si>
  <si>
    <t>https://www.scopus.com/inward/record.uri?eid=2-s2.0-85114151200&amp;doi=10.1017%2Fdmp.2021.164&amp;partnerID=40&amp;md5=774ab8aff5c0d09d26534aab638ed312</t>
  </si>
  <si>
    <t>2-s2.0-85114151200</t>
  </si>
  <si>
    <t>Role of ELT and Life Skills in Developing Employability Skills through Integrating Self Determination and Experiential Learning</t>
  </si>
  <si>
    <t>The main purpose of this article is the combination of self-determination theory and experiential learning methodologies that explores the relationship of developing ELT, employability skill, life skills. The goal of this article is to develop a theoretical framework for life and work skills as both of these non-technical skills can be acquired by satisfying our psychological requirements for autonomy, competence, and relatedness in a classroom setting that fosters active learning. A convenient sampling technique has been used through a questionnaire-based survey of 2185 students from technical universities across India. The SPSS 29 version has been used to code and analyze the data set. Further various tests have been employed to determine Role of ELT and Life Skills in Developing Employability Skills through Integrating Self Determination and Experiential Learning. The creation of this framework is to point out how to improve one’s own competence, selfassurance, intrinsic motivation, and other beneficial outcomes seen in a variety of spheres of life, including childhood, sports, and career. Consider initially how young children might acquire life skills that will promote later development of an employability skill and provide additional advantages for both the individual and the workplace. The article proposes insightful suggestions to educators and policy makers to put into practice efficient methods for incorporating experiential learning and self-determination theory into ELT and life skills curriculum. © 2024, Austrian Statistical Society. All rights reserved.</t>
  </si>
  <si>
    <t>Gupta D.B.; Bhatt V.; Mathur S.; Badge J.; Sharma A.</t>
  </si>
  <si>
    <t>10.17713/AJS.V53I5.1919</t>
  </si>
  <si>
    <t>https://www.scopus.com/inward/record.uri?eid=2-s2.0-85215583790&amp;doi=10.17713%2FAJS.V53I5.1919&amp;partnerID=40&amp;md5=412fce42ff6b31403dbd0066b695fdfd</t>
  </si>
  <si>
    <t>2-s2.0-85215583790</t>
  </si>
  <si>
    <t>Elevating leadership: Innovative Teaching methods for developing future leaders</t>
  </si>
  <si>
    <t>In the rapidly evolving landscape of leadership education, the importance of innovative pedagogical practices cannot be overstated. Demands on leaders continue to develop and a diverse and dynamic skill set is crucial for navigating the complexities of the modern workplace. Leaders are expected to demonstrate adaptability, emotional intelligence, ethical decision-making, collaborating across cultures and technologies. To cultivate these essential skills, traditional teaching methods may not be sufficient, necessitating the integration of innovative pedagogies to unlock the full potential of leadership learners. Elevating Leadership explores the critical importance of innovative pedagogical practices in a world where leadership demands are rapidly changing - using experiential learning, simulations, and technology-enabled tools, Pelin Kohn provides learners with real-world scenarios, fosters practical insights, and enhances problem-solving skills. The competency-based leadership model as a new development through innovative pedagogical practices allows learners to acquire tangible skills and behaviours that can be immediately applied in real-world leadership scenarios, ensuring both theoretical and practical development is achieved. Elevating Leadership demonstrates how to cultivate a growth mindset in leadership learners, resulting in adaptable and resilient leaders who can navigate change and uncertainty successfully. © 2024 Pelin Kohn. All rights reserved.</t>
  </si>
  <si>
    <t>Kohn P.</t>
  </si>
  <si>
    <t>https://www.scopus.com/inward/record.uri?eid=2-s2.0-85196685113&amp;partnerID=40&amp;md5=4ab1363b04ab1a8cded2c5a97121688b</t>
  </si>
  <si>
    <t>2-s2.0-85196685113</t>
  </si>
  <si>
    <t>Danilo Farias</t>
  </si>
  <si>
    <t>Publication Title</t>
  </si>
  <si>
    <t>Page count</t>
  </si>
  <si>
    <t>Source</t>
  </si>
  <si>
    <t>This Research Full Paper reports an experience related to the Training Program 4.0 to encourage technological innovation focused on developing professional skills, especially soft skills, in undergraduate and graduate students. As the primary motivation for this program, the constant technological evolution and consequent demand for continuing education of information technology professionals stand out. Also, considering the complexity of problems solved with technology and an increasingly demanding market, computing education has been transforming, focusing on technical skills, such as cloud technologies and AI, and non-technical skills, such as self-initiative, communication, and collaboration. In this context, continuing education initiatives through teaching and learning approaches centered on practice are beneficial for forming professional skills. This study describes an experience of one of the units of the Training Program 4.0 focused on innovation for the automotive sector, based on the report and discussion of three projects. As a main contribution, the report proposes a PBL process for innovation projects, transforming it into a PBL training that can be planned, executed, monitored, and continuously improved. Using an appropriate assessment model makes it possible to manage soft skills throughout the projects, carrying out necessary interventions. To present evidence of the use of the proposed PBL Process, the results of the projects are discussed, showing how Soft skills can be managed in the context of innovation projects or other educational contexts, such as courses or disciplines.</t>
  </si>
  <si>
    <t>D. Maia; S. C. dos Santos; G. F. G. Cavalcante; P. A. A. Falcão</t>
  </si>
  <si>
    <t>2023 IEEE Frontiers in Education Conference (FIE)</t>
  </si>
  <si>
    <t>https://ieeexplore.ieee.org/stamp/stamp.jsp?arnumber=10343417</t>
  </si>
  <si>
    <t>This Innovative-Practice Full Paper presents the curriculum development of an introductory course in programming and data science for postdoctoral researchers (PDRs) in the biosciences. The use of computing software has become ubiquitous and a working knowledge of data science has become increasingly essential for researchers in all domains. However, curriculum development focusing on imparting foundational programming skills and fundamentals of data science for researchers in domains other than computing has been scarce. Thus, there is an unmet need for curriculum development involving computational thinking, programming, and the fundamentals of data science for this audience. Recognizing these growing needs and demands of researchers to learn programming and data science that can then be applied to their area of research or practice, we developed an introductory course in programming and data science for PDRs in biology and medicine. The primary goal of the course was to develop computational thinking skills in PDRs who hail from backgrounds that have traditionally not focused on inculcating computational thinking. This course covered the fundamental concepts of programming using either Python or R - languages that researchers outside the computing community use in numerous ways including the statistical analysis of large datasets that are becoming increasingly common in biomedical research. Further, PDRs enrolled in the course were introduced to some of the broad categories of problems in data science - exploratory data analysis, classification, regression, and clustering - along with relevant algorithms and how they can be applied to real-world datasets in their respective domains using packages or libraries in Python or R. We also report the feedback from the enrolled PDRs, lessons learned, and recommendations for instructors interested in designing similar curricula. Our course focusing on computing and data science education for postdoctoral scholars from a non-computing background demonstrates a promising model for incorporating computing education in other areas of study that do not traditionally have a focus on computing education as well as in continuing education.</t>
  </si>
  <si>
    <t>2022 IEEE Frontiers in Education Conference (FIE)</t>
  </si>
  <si>
    <t>10.1109/FIE56618.2022.9962737</t>
  </si>
  <si>
    <t>Making a Case for Studying the Effects of Using GitHub on HBCU Students' Computational Thinking Skills</t>
  </si>
  <si>
    <t>While preparing students for careers beyond graduation, HBCU faculty often have to balance the priorities of bridging the gap between the level of student preparation and the expected level of preparedness as influenced by industry and discipline standards. Prioritization of these standards does not always align with the experience of students at Historically Black College and Universities (HBCU) and Minority Serving Institutions (MSI). The Association of Computing Machinery (ACM) 2013 Computer Science Curricula guidelines highlight version control as one of many core tools in the Social Issues and Professional Practice (SP) Knowledge Area students should experience in their upper-level software engineering courses. Research has demonstrated that at this level, students receive exposure to the tool but are not able to gain sufficient mastery. Other researchers have advocated for version control being introduced earlier in the computer science curricula. There is limited research that indicates that this particular tool improves the learning outcomes for students or significantly complements the other ACM Knowledge Areas. This paper explores the challenges experienced by an HBCU faculty member while integrating GitHub into an advanced programming class. It is important to note, there is no research that directly addresses the use of version control in predominately African American classrooms.</t>
  </si>
  <si>
    <t>A. E. Johnson</t>
  </si>
  <si>
    <t>2021 Conference on Research in Equitable and Sustained Participation in Engineering, Computing, and Technology (RESPECT)</t>
  </si>
  <si>
    <t>10.1109/RESPECT51740.2021.9620585</t>
  </si>
  <si>
    <t>https://ieeexplore.ieee.org/stamp/stamp.jsp?arnumber=9620585</t>
  </si>
  <si>
    <t>Beyond the Job Posting: What Hiring Managers Seek in Entry-Level Software Engineering Candidates</t>
  </si>
  <si>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t>
  </si>
  <si>
    <t>S. B. Loufek; F. Santos; B. Trinkenreich</t>
  </si>
  <si>
    <t>2025 ACM/IEEE International Symposium on Empirical Software Engineering and Measurement (ESEM)</t>
  </si>
  <si>
    <t>10.1109/ESEM64174.2025.00055</t>
  </si>
  <si>
    <t>https://ieeexplore.ieee.org/stamp/stamp.jsp?arnumber=11323277</t>
  </si>
  <si>
    <t>In the wake of the so-called fourth industrial revolution, computer programming has become a foundational competency across engineering disciplines. Yet engineering students often resist the notion that computer programming is a skill relevant to their future profession. Here are presented two activities aimed at supporting the early development of engineering students’ attitudes and abilities regarding programming in a first-year engineering course. Both activities offer students insights into the way programs are constructed, which have been identified as a source of confusion that may negatively affect acceptance. In the first activity, a structured, language-independent way to approach programming problems through guided questions was introduced, which has previously been used successfully in introductory computer science courses. The team hypothesized that guiding students through a structured reflection on how they construct programs for their class assignments might help reveal an understandable structure to them. Results showed that students in the intervention group scored nearly a full letter grade higher on the unit’s final programming assessment than those in the control condition. The second activity aimed to help students recognize how their experience with MATLAB might help them interpret code in other programming languages. In the intervention group, students were asked to review and provide comments for code written in a variety of programming languages. A qualitative analysis of their reflections examined what skills students reported they used and, specifically, how prior MATLAB experience may have aided their ability to read and comment on the unfamiliar code. Overall, the ability to understand and recognize syntactic constructs was an essential skill in making sense of code written in unfamiliar programming languages. Syntactic constructs, lexical elements, and patterns were all recognized as essential landmarks used by students interpreting code they did not write, especially in new languages. Developing an understanding of the static structure and dynamic flow required of programs was also an essential skill which helped the students. Together, the results from the first activity and the insights gained from the second activity suggest that guided questions to build skills in reading code may help mitigate confusion about program construction, thereby better preparing engineering students for computing-intensive careers.</t>
  </si>
  <si>
    <t>IEEE Transactions on Education</t>
  </si>
  <si>
    <t>10.1109/TE.2021.3140051</t>
  </si>
  <si>
    <t>Robotics Software Engineering Education: An Experience Report</t>
  </si>
  <si>
    <t>Software engineering education has been predominantly focused on educating software engineering and computer science students. However, software engineering has increasingly spread into other disciplines, such as robotics. However, in addition to computer science, robotics programs are based on a number of other disciplines, including electrical and mechanical engineering. This not only limits the time and courses available for software engineering education but also requires educational approaches to address a student body with distinct skill sets and problem-solving methods. In addition, robotics students are faced with complex software engineering problems, as robotics systems become more complex and integrate with other systems, such as Cyber-Physical Systems and the Internet of Things. The integration of services and the collaboration between different systems require advanced software engineering skills and the ability to work on complex business logics connecting multiple systems. This paper reports on our experiences of teaching software engineering to robotics students. We report of two installments of a software engineering course in a robotics degree program. After the first installment, we changed the course schedule to better reflect robotics students' needs and to place more emphasis on the specific characteristics of software engineering and the related skills that differ from other technical engineering subjects. Consequently, we share our insights from the initial implementation of the course and offer comprehensive insights for enhancing future iterations.</t>
  </si>
  <si>
    <t>M. Manjunath; J. J. Raja; R. Herrler; M. Daun</t>
  </si>
  <si>
    <t>2025 IEEE/ACM 37th International Conference on Software Engineering Education and Training (CSEE&amp;T)</t>
  </si>
  <si>
    <t>10.1109/CSEET66350.2025.00042</t>
  </si>
  <si>
    <t>https://ieeexplore.ieee.org/stamp/stamp.jsp?arnumber=11024378</t>
  </si>
  <si>
    <t>Exploring the factors influencing students’ experience with challenge-based learning: a case study</t>
  </si>
  <si>
    <t>Challenge-Based Learning (CBL) is an active-learning pedagogy increasingly used in Engineering Education to prepare students for their future careers by emphasizing knowledge acquisition and application and developing disciplinary and transdisciplinary skills. The purpose of this study is to describe the implementation of a CBL course, guided by the spiderweb curriculum framework, for first-year engineering students from different disciplines and explore students’ perceptions of factors that facilitated or inhibited their learning. We analyzed the results of the formal course evaluation consisting of a survey and two open-ended questions. In addition, we conducted 16 individual interviews after the end of the course. Results indicated that students appreciated the real-life aspect of the challenge, and a client’s involvement enhanced their engagement to the challenge and made their learning relevant. On the other hand, students seemed to find the course structure quite complicated, with many meetings during the week, several communication platforms, and the distribution of individual and group work for the final assignment. Lessons learned and future directions for practice and research are discussed.</t>
  </si>
  <si>
    <t>K. Doulougeri; G. Bombaerts; D. Martin; A. Watkins; M. Bots; J. D. Vermunt</t>
  </si>
  <si>
    <t>2022 IEEE Global Engineering Education Conference (EDUCON)</t>
  </si>
  <si>
    <t>10.1109/EDUCON52537.2022.9766574</t>
  </si>
  <si>
    <t>https://ieeexplore.ieee.org/stamp/stamp.jsp?arnumber=9766574</t>
  </si>
  <si>
    <t>AI and Challenge-Based Learning: The Case of Biotechnology Engineering Understanding the Role of the Microbiota</t>
  </si>
  <si>
    <t>Understanding the gut microbiota is crucial due to its profound impact on human health, influencing digestion, immune regulation, and disease prevention. Its interdisciplinary nature makes it a critical area of study in various fields, including biotechnology engineering, where teaching students about its complexity and real-world applications is essential. Despite its importance, gut microbiota remains underrepresented in educational curricula, limiting students' ability to grasp its complexity and practical implications. To address this gap, an interactive virtual reality tool called the Gut Microbiota Simulator (GMS) was developed, allowing students to explore the effects of lifestyle factors, such as diet, sleep, and stress, on gut health by simulating dynamic changes and providing an engaging, interactive learning environment. The simulator was evaluated in an undergraduate course through pre-tests, post-tests, and a perception survey to assess its effectiveness. Results showed a significant improvement in students' understanding of microbiota-related concepts, with post-test scores significantly higher than pre-test scores (p &lt; 0.001). The perception survey revealed high satisfaction levels, with average ratings exceeding nine on a 10-point scale for dimensions such as usefulness, engagement, and learning relevance. In addition, an AI-based microbiota simulator powered by a custom GPT model was developed as a complementary resource to provide personalized feedback and flexible interaction scenarios. These tools demonstrate the potential of integrating virtual reality and artificial intelligence to address complex educational challenges, fostering critical thinking and problem-solving skills in students. This study highlights the importance of using innovative technologies to improve the teaching of interdisciplinary topics. Future work will explore adapting these tools to other disciplines and educational contexts, promoting accessible and impactful learning experiences.</t>
  </si>
  <si>
    <t>M. E. Elizondo-García; V. Lara-Prieto; R. García-García; I. G. Benavides-García; J. Membrillo-Hernández</t>
  </si>
  <si>
    <t>2025 IEEE Global Engineering Education Conference (EDUCON)</t>
  </si>
  <si>
    <t>10.1109/EDUCON62633.2025.11016569</t>
  </si>
  <si>
    <t>https://ieeexplore.ieee.org/stamp/stamp.jsp?arnumber=11016569</t>
  </si>
  <si>
    <t>Engineering Student Perspectives of a New Required Programming Course</t>
  </si>
  <si>
    <t>In this research to practice report, we present student perceptions of a new first-year engineering programming class that was designed by informed research practices. While the College of Engineering at the participating university saw a lot of major switching in the first year, there were not many students switching into computer science (CS). This could have been because other engineering major classes did not transfer well to CS or that students would be a year behind in the programming classes. In either case, the participating university felt that computational thinking and programming were an important part of first-year engineering exploration and believed that all 21st century engineering majors should learn to program in a general purpose language, such as Python or C++. Past research found that prior programming experience, knowledge organization, self-efficacy, and class size were factors impacting student performance in early programming courses, and learning about programming enhanced students' problem-solving skills and improved perceptions about CS. Many other research studies showed that the context in which programming material was presented to non-majors was important for their learning and interest, and themed, mixed-context courses with real-world engineering problems worked well. Therefore, in the spring 2022, we created 12, 100-person sections of a course titled “Engineering Computational and Algorithmic Thinking” for a new first-year engineering experience. Each section was taught by a different instructor representing a variety of disciplines and topics in the College of Engineering. This paper describes the research to practice and engineering student perceptions of the new, required programming class. We hypothesized that engineering students would say that the course should be required for all engineering majors, but we wanted to know why. We believed that student prior programming experience, engineering major, and other demographics would play a role in their responses. We thematically analyzed student justifications to identify emerging themes, and we used a mixed-method approach to correlate themes to different student demographics, engineering major interest, and prior programming experience. The majority of engineering students agreed that the first-year engineering course should be required, and prior programming experience and major played the largest role.</t>
  </si>
  <si>
    <t>J. Parham-Mocello; J. Garcia; M. Sadler</t>
  </si>
  <si>
    <t>10.1109/FIE58773.2023.10343028</t>
  </si>
  <si>
    <t>https://ieeexplore.ieee.org/stamp/stamp.jsp?arnumber=10343028</t>
  </si>
  <si>
    <t>A Systematic Literature Review on Faculty Learning in Service-Learning</t>
  </si>
  <si>
    <t>Service-learning is a pedagogical approach which makes learning more meaningful. Researchers have reported this so far taking the cases of student learning experiences and impact studies. There are also studies which analyzed the role of community and academic institutions in the success of Service-learning. Faculty being an important stakeholder, less research took place on the role of faculty. When it is targeted to undergraduate students, Service-learning courses require to be designed and delivered in a distinctive style. Undergraduate students think and learn independently compared to children under 18 years of age. There are learning theories which are applicable for faculty and students. Faculty learning is equally important to make learning more effective. Faculty becoming co-learners while teaching increases the confidence of students in the learning process. As per the literature available, faculty learning as a specific area is not given focus in the process as compared to the other areas of service-learning like models of integrating service-learning into curriculum, benefits of service-learning, complementing professional skills and improved ethics etc. Hence this study is an attempt to explore the concept of faculty learning in service-learning and report the significance of faculty learning in implementing service-learning courses to undergraduate engineering students.</t>
  </si>
  <si>
    <t>S. R. Bandi; G. Joshi; A. Shettar; R. Kandakatla</t>
  </si>
  <si>
    <t>2023 IEEE Global Engineering Education Conference (EDUCON)</t>
  </si>
  <si>
    <t>10.1109/EDUCON54358.2023.10125223</t>
  </si>
  <si>
    <t>https://ieeexplore.ieee.org/stamp/stamp.jsp?arnumber=10125223</t>
  </si>
  <si>
    <t>Curriculum Integration of engineering with business to enhance engineer's management competency- A multidisciplinary to interdisciplinary approach</t>
  </si>
  <si>
    <t>Curriculum redesign and restructuring is a conduit for developing multidisciplinary competency in engineers which empowers them to use their technical expertise to a problem scenario which requires a sound understanding of various aspects of managing businesses. Therefore it is incumbent upon the Universities and colleges to drive multidisciplinary integration for developing integrated skill sets in students. This paper presents a case of interdisciplinary integration of engineering curriculum that was initiated a year ago in Higher Colleges of Technology, UAE to address the demand for high-skill jobs requiring both technical knowledge and management competency. We aim to explore the level of integration attained in the aforementioned programs through a description of the range of different disciplines integrated into these programs. The learning pedagogies suitable for interdisciplinary education will be discussed with the objective of ensuring the desired outcome of an integrated curriculum. The integration of other relevant disciplines with Engineering needs to be adequately supported with appropriate learning strategies like interdisciplinary research, projects, team based learning and other emerging disruptive innovations in learning approaches. To further improve the level of curriculum integration, inter to transdisciplinary integration is required which will be the next stage in the HCT 4.0 strategic plan of “Graduating companies”.</t>
  </si>
  <si>
    <t>R. Banerjee; W. Zgalai; B. Boukareva</t>
  </si>
  <si>
    <t>2020 Advances in Science and Engineering Technology International Conferences (ASET)</t>
  </si>
  <si>
    <t>10.1109/ASET48392.2020.9118306</t>
  </si>
  <si>
    <t>https://ieeexplore.ieee.org/stamp/stamp.jsp?arnumber=9118306</t>
  </si>
  <si>
    <t>Undergraduate Research Experiences: A case study from the Computer Science Department, University of Guyana</t>
  </si>
  <si>
    <t>The world is facing a wide range of serious problems that require urgent attention. Inherent to understanding and solving these problems are research and development activities. Research and development skills are primarily taught at institutions of higher education and have translated into numerous benefits for students, such as enhanced cognitive skills and a broader awareness of the discipline. This paper presented a model for running undergraduate research courses at the Computer Science Department, University of Guyana (UG). Key components of the model include preparatory assessments, two-semester offering of research courses (formal proposal and thesis), human resources, mechanisms for guidance and support, assessments and grading rubrics. The model was first implemented in 2017/2018, and was monitored and evaluated over a two-year period using a sample of 23 undergraduate students who were pursuing computer related BSc degree programs. Students provided feedback via a survey that was primarily focused on the research process, supervision, course structure, weekly research sessions, and general strengths and weaknesses of the undergraduate research model. The participants reported positive feedback such as having a good grasp of the research process, high levels of confidence in conducting independent research and preparedness for postgraduate studies. As such, this undergraduate research model may have wider applicability for the UG community and other institutions of higher learning.</t>
  </si>
  <si>
    <t>P. DeFreitas</t>
  </si>
  <si>
    <t>2021 International Conference on Computational Science and Computational Intelligence (CSCI)</t>
  </si>
  <si>
    <t>10.1109/CSCI54926.2021.00028</t>
  </si>
  <si>
    <t>https://ieeexplore.ieee.org/stamp/stamp.jsp?arnumber=9798903</t>
  </si>
  <si>
    <t>The objective of interdisciplinary education is to teach multiple domains, so that the students can solve integrative problems that require knowledge and skills from these domains. Interdisciplinary programs, in which computer science is combined with other domains, range from bioinformatics to computational linguistics and data science. Data science is an interdisciplinary field that integrates computer science, mathematics, statistics, and the domain knowledge of the data involved. It is a relevant research skill for many disciplines, including social sciences. Specifically, graduate psychology students who wish to learn data science have already mastered the psychology domain knowledge and their statistics background is advanced. They lack, however, the computer science knowledge required for meaningfully handling data science. The problem is, however, that there is no CS1 course that fits graduate psychology students who study data science: On the one hand, the current CS1 courses do not suit social science students; on the other hand, CS1 courses for non-majors usually do not meet the required level of computer science needed for data science. Accordingly, to close this gap, we designed a new CS1 course – an interdisciplinary Introduction to Computer Science for Psychological Science course – that a) suits social science students and b) meets the required computer science level for data science. We evaluated the course by examining students’ learning outcomes, reflections, and responses on questionnaires. Based on the data analysis according to the self-determination motivation theory, it is concluded that the course design enabled to achieve the course’s targets.</t>
  </si>
  <si>
    <t>10.1109/EDUCON52537.2022.9766516</t>
  </si>
  <si>
    <t>Engineering of the Future: The Influence of Educational Innovation</t>
  </si>
  <si>
    <t>Educational innovation is a strategic initiative that universities have been integrating into their efforts for the continuous improvement of the teaching and learning process, and as a response to the demands of the environment and the profile of today’s students. The purpose of this research is to analyze cases of educational innovation to define a process of design, development, and implementation of innovative resources in engineering programs, which will facilitate other institutions that want to get involved in the use of technology for innovation in education. The research methodology is qualitative, using multiple case studies. The stages that were followed are: the definition of the cases of educational innovation with technology, description of 3 cases in engineering courses, comparative analysis of the cases and conclusions with a model using the process approach. The institutional strategy of educational innovation is integrated by the allocation of resources, constant training of teachers and staff with knowledge in educational technology, pedagogical advisors, and multidisciplinary work. The experience of design, development, and implementation of resources for educational innovation allows for the systematization of processes in each of the stages that lead to the successful completion of the innovative projects, that impacts to the learning experience of the student and the engineering of the future. Educational innovation supports competency-based education, which uses active learning as one of its fundamental elements, impacts on student engagement not only with their course but also with the discipline they are studying and facilitates the student’s learning process. Defining models that facilitate the educational innovation strategy helps to ensure the impact on the purpose of universities: the training of young people with life skills to transform our organizations and society into a better world.</t>
  </si>
  <si>
    <t>M. I. Ruiz-Cantisani; V. Lara-Prieto; A. G. R. Mendoza; A. Rodriguez-Rosales; R. Garcia-Garcia; J. Membrillo-Hernandez</t>
  </si>
  <si>
    <t>2024 World Engineering Education Forum - Global Engineering Deans Council (WEEF-GEDC)</t>
  </si>
  <si>
    <t>10.1109/WEEF-GEDC63419.2024.10854957</t>
  </si>
  <si>
    <t>https://ieeexplore.ieee.org/stamp/stamp.jsp?arnumber=10854957</t>
  </si>
  <si>
    <t>Addressing the Barriers of Knowledge Transfer: Using ePortfolios to Enhance Student Reflection in Technical Courses</t>
  </si>
  <si>
    <t>Education literature has long emphasized the compounding benefits of reflective practice. Although reflection has largely been used as a tool for developing writing skills, contem-porary research has explored its contributions to other disciplines including professional occupations such as nursing, teaching and engineering. Reflective assignments encourage engineering students to think critically about the impact engineers can and should have in the global community and their future role in engineering. The Department of Electrical and Computer Engineering at a small liberal arts college adopted ePortfolios in a first-year design course to encourage students to reframe their experiences and cultivate their identities as engineers. Our recent work demonstrated that students who create ePortfolios cultivate habits of reflective thinking that continue in subsequent courses within our program's design sequence. However, student ability to transfer reflective habits across domains has remained unclear and encouraging critical engagement beyond the focused scope of technical content within more traditional core engineering courses is often difficult. In this work, we analyze students' ability to transfer habits of reflective thinking across domains from courses within a design-focused course sequence to technical content-focused courses within a degree program. Extending reflection into core courses in a curriculum is important for several reasons. First, it stimulates metacognition which enables students to transfer content to future courses. Second, it builds students' ability to think critically about technical subject matter. And third, it contributes to the ongoing development of their identities as engineers. Particularly for students traditionally underrepresented in engineering, the ability to integrate prior experiences and interests into one's evolving engineering identity may lead to better retention and sense of belonging in the profession. In the first-year design course, electrical and computer engi-neering students (N=28) at a liberal arts university completed an ePortfolio assignment to explore the discipline. Using a combination of inductive and deductive coding techniques, mul-tiple members of our team coded student reports and checked for intercoder reliability. Previously, we found that students' reflection dramatically improved in the second-year design course [1]. Drawing upon Hatton and Smith's (1995) categorizations of reflective thinking [2], we observed that students were particu-larly proficient in Dialogic Reflection, or reflection that relates to their own histories, interests, and experiences. In this paper, we compare the quality of student reflections in the second-year design course with those in a second-year required technical course to discover if reflective capabilities have transferred into a technical domain. We discovered that students are able to transfer reflective thinking across different types of courses, including those em-phasizing technical content, after a single ePortfolio activity. Furthermore, we identified a similar pattern of improvement most notably in Dialogic Reflection. This finding indicates that students are developing sustained habits of reflective thinking. As a result, we anticipate an increase in their ability to retain core engineering concepts throughout the curriculum. Our future plans are to expand ePortfolio usage to all design courses as well as some fundamental technical courses throughout the curriculum.</t>
  </si>
  <si>
    <t>R. Thomas; S. Appelhans; R. Kozick; C. Matlack; P. Asare; M. Thompson; S. J. Thomas; R. Nickel; A. Cheville</t>
  </si>
  <si>
    <t>10.1109/FIE58773.2023.10343477</t>
  </si>
  <si>
    <t>https://ieeexplore.ieee.org/stamp/stamp.jsp?arnumber=10343477</t>
  </si>
  <si>
    <t>A Multidisciplinary Project-Based Learning Approach for Teaching Internet of Things</t>
  </si>
  <si>
    <t>A multidisciplinary collaborative project-based learning approach is proposed to teach the Internet of Things with the aim of developing critical thinking, idea development, and intellectual design skills. In the real world, people from different disciplines need to work collaboratively in the new product development process. However, in the current curriculum and teaching environment, the collaboration part is missing. Although new product/innovation subjects are offered in engineering and business schools, they are run separately and only focus on one aspect of the process. Extensive research has demonstrated that working with peers from other disciplines enables students to gain different perspectives, helps them to examine their own values and pre-existing knowledge, and improves their active engagement. An interactive framework is designed which links students from different disciplines together to identify real world problems, develop their own ideas to solve them, develop both business and engineering aspects of their products, and demonstrate and present them using different medium. Student satisfaction surveys are conducted to evaluate the effectiveness of the framework. The innovative component attracted high students’ satisfaction from both engineering and business students and students rated their experiences positively. This study could help other institutions in the successful implementation of multidisciplinary project components in their higher education program.</t>
  </si>
  <si>
    <t>M. Shirvanimoghaddam</t>
  </si>
  <si>
    <t>2024 IEEE International Conference on Teaching, Assessment and Learning for Engineering (TALE)</t>
  </si>
  <si>
    <t>10.1109/TALE62452.2024.10834290</t>
  </si>
  <si>
    <t>https://ieeexplore.ieee.org/stamp/stamp.jsp?arnumber=10834290</t>
  </si>
  <si>
    <t>Alternative to the Traditional Learning: Usage of Virutal Reality Platform for Remote Education</t>
  </si>
  <si>
    <t>The global shift toward remote education, particularly during the coronavirus disease 19 (COVID-19) pandemic, has highlighted the limitations of traditional online platforms: poor student engagement, lack of social interaction, and difficult hands-on skills. Social Virtual Reality (VR) platforms-like the emerging VRCHAT have become an attractive alternative with which to develop these immersive, interactive learning experiences. This research explores the effectiveness of VRChat in emulating classroom environments, focusing on interaction and participation in education. In the context of this work, a new virtual classroom environment was developed in VRChat, using game engine (Unity), with interactive screens, marker systems, and spatial audio to achieve an advanced level of replication of social dynamics and practical activities typical of physical classrooms.This is a mixed-methods study that employs quantitative surveys and qualitative interviews to get the views of students from diverse academic backgrounds. Both surveys and interviews are undertaken among bachelor's students (87 responses) to determine their experiences with the VR technology, the level of engagement, comfort with VR environments, and technical or financial barriers to adoption. Findings indicate that VR significantly enhances engagement and social presence compared to conventional video-conferencing tools, with participants reporting higher interaction levels and a more immersive experience. On the other hand, important barriers that have been pointed out are expensive hardware and issues such as low connectivity, performance differences between systems, which in the future could become a big problem for the large-scale use of such solutions within an educational environment.Despite these challenges, the study highlights VR’s potential to transform remote education, especially for students in technology-oriented disciplines who express openness to VR-based learning. Technical and accessibility optimizations, such as affordable VR solutions and platform improvements, are essential to scale VR adoption in educational institutions. This study’s findings contribute to a growing body of research suggesting that VR can enhance learning outcomes by offering a richer, more engaging alternative to traditional online platforms. Future research should investigate long-term impacts on learning retention and outcomes, as well as explore cost-effective VR solutions, and educator training.</t>
  </si>
  <si>
    <t>S. Iskalinov; A. Aliyev; N. Azimbay; E. Garifullin; R. Omirgaliyev</t>
  </si>
  <si>
    <t>2025 IEEE European Technology and Engineering Management Summit (E-TEMS)</t>
  </si>
  <si>
    <t>10.1109/E-TEMS64751.2025.11239118</t>
  </si>
  <si>
    <t>https://ieeexplore.ieee.org/stamp/stamp.jsp?arnumber=11239118</t>
  </si>
  <si>
    <t>Enhancing Computer Professional English Learning: Application Case-Driven Pedagogy</t>
  </si>
  <si>
    <t>Contribution: This study proposes an application case-driven pedagogy for non-native English undergraduate in learning computer professional English (CPE). It highlights the potential of helping students to understand the cutting-edge technology-enabled application cases complemented with video clips in improving each aspect of English listening, speaking, reading, and writing (LSRW) in computer science. Background: Traditional teaching practices in CPE are based on learning materials that outdated the rapid technological development and controlled type of educator-centered approach. Intended Outcomes: The proposed pedagogy is intended to maximize students’ engagement and be applicable to computing-related courses. Application Design: The overall design is student-centered. All learning and teaching (L&amp;T) activities are conducted via blended learning in classroom and digital platforms. A hybrid pedagogical framework is designed by integrating outcome-based education, on-/off- line combined interactions, flipped classroom, and inquiry-based case-analyzing approaches. Each timetabled class is broken down into different sessions in which the CPE LSRW skills can be evenly developed accordingly. Learning experience and outcomes are tracked by module questionnaire, half-term and end-term surveys, module assessment results, and post-module evaluation. Moreover, lecturer’s practices cored with vision, values and beliefs are examined, ensuring a professional identity perceived by deploying the proposed pedagogy. Findings: Positive responses from students attest to the efficacy and applicability of the designed module content and the proposed pedagogy. Future extension will include more diverse cohorts and explore the long-term impact of the study on their career development.</t>
  </si>
  <si>
    <t>X. Ding; W. Gao</t>
  </si>
  <si>
    <t>10.1109/TE.2025.3584884</t>
  </si>
  <si>
    <t>https://ieeexplore.ieee.org/stamp/stamp.jsp?arnumber=11086358</t>
  </si>
  <si>
    <t>20 Years of EPICS at Butler University: Experiences and Lessons Learned</t>
  </si>
  <si>
    <t>This research-to-practice full paper discusses experiences and lessons learned from our EPICS@BUTLER (Engineering Projects in Community Service at Butler) program. The program, housed within the department of Computer Science and Software Engineering, is part of a college of Liberal Arts and Sciences and serves a diverse population of students with multi-disciplinary backgrounds. The EPICS curriculum is driven by a team-based service-learning pedagogical model. EPICS teams learn how to work together effectively while addressing the immediate IT needs of our non-profit partner clients, navigating their budgetary restrictions, and coping with any lack of existing IT infrastructure. During the 2020/2021 academic year, we launched an empirical study to review and assess EPICS@BUTLER. The study's main goal was to learn from the past 20 years of running the EPICS program by soliciting input from all parties involved. We aimed to improve and expand our service-learning model within an LAS context. More specifically, this study included surveying alumni and current undergraduate students in order to understand the successes and areas of potential improvement within our program. In addition, we conducted one-on-one interviews with our community non-profit partners as well as volunteer team mentors to assess the program's effectiveness and community impact. Based on the empirical data we gathered and analyzed, we discuss how the existing curriculum is effective at providing fulfilling experiences which help our alumni secure jobs after graduation. In addition, we found that the practice of allowing supervised teams to navigate their own EPICS projects helps them improve their professional maturity and interpersonal skills. In summary, this paper discusses an empirical study and aims to leverage the results gathered from our surveys and interviews in order to present a plan for continuous improvement and modernization of our on-going EPICS program. In closing, our paper describes a concise roadmap and offers practical recommendations for implementing a similar EPICS program at other potentially interested academic institutions.</t>
  </si>
  <si>
    <t>L. Johnson; P. Linos</t>
  </si>
  <si>
    <t>10.1109/FIE58773.2023.10343064</t>
  </si>
  <si>
    <t>https://ieeexplore.ieee.org/stamp/stamp.jsp?arnumber=10343064</t>
  </si>
  <si>
    <t>Multidisciplinary Hackathons: Towards Developing Practical Software Engineering Skills</t>
  </si>
  <si>
    <t>Software engineers often work on multidisciplinary projects as they collaborate with domain experts in a variety of different disciplines to effectively develop software systems. While the focus of software engineering curricula is generally on teaching technical skills, it is highly desirable to provide students with hands-on experience in working on multidisciplinary projects. This research attempts to facilitate the experience of working on projects with stakeholders of diverse expertise through the use of multidisciplinary hackathons. In recent years, hackathons have been considered effective teaching and evaluation tools that can contribute to the development of practical skills for students. Hackathons can be used as an instrument to improve the educational experience through learning by doing in which learners can test their problem-solving, project management, and prioritization skills in a limited time. This research presents a case study of hackathons in the field of health informatics involving students from software engineering and nursing. To facilitate a consistent and supportive multidisciplinary learning experience, the hackathon was introduced as a course component in two different courses in nursing and software engineering. The data presented in this research is from two consecutive executions of the hackathon involving two different cohorts of students in 2022 and 2023. The results of this study show that students believe a multidisciplinary course would be a welcomed addition as it facilitated an exciting collaborative environment to work on real-world problems; providing a unique opportunity for interactions between different disciplines. The addition of hackathons into the courses enhanced the students' understanding of how to work with requirements from gathering to analysis to development, and allowed them the unique opportunity to examine the different challenges, technologies, and tools involved with other disciplines.</t>
  </si>
  <si>
    <t>M. Moshirpour; T. A. Shoura; L. Duffett-Leger; M. Moshirpour</t>
  </si>
  <si>
    <t>10.1109/FIE58773.2023.10343214</t>
  </si>
  <si>
    <t>https://ieeexplore.ieee.org/stamp/stamp.jsp?arnumber=10343214</t>
  </si>
  <si>
    <t>Introduction of a Case-Based Learning Tool for Statistics with a Controlled Integration of LLMs</t>
  </si>
  <si>
    <t>Statistical data analysis has become a fundamental skill across all disciplines, including computer science. However, students outside traditional statistics programs often lack structured guidance in applying statistical reasoning to real-world problems. We present an interactive, browser-based learning tool in which data analysis skills are practiced in an accessible and hands-on way. The tool was developed to support computer science and other technically oriented students who have little prior exposure to applied statistics. It combines individualized dataset generation with step-by-step guidance and a conversational chatbot interface powered by a large language model. Learners work independently on realistic case studies provided by a simulated client, enabling authentic engagement while minimizing the risk of plagiarism. Analytical methods and visualizations can be selected through a simple interface, and results are immediately displayed and stored for reporting. By integrating feedback and natural-language interaction, the tool facilitates self-directed learning while abstracting away technical barriers. Formal grading remains with instructors, ensuring compliance with ethical and legal standards, such as the EU AI Act. The system aims to enhance statistics education across disciplines by combining automation, fairness, and usability in a unified learning framework.</t>
  </si>
  <si>
    <t>L. K. De Canaviri; S. Kuhnt; A. M. Cordes; S. Jörges</t>
  </si>
  <si>
    <t>2025 9th International Conference on Computational System and Information Technology for Sustainable Solutions (CSITSS)</t>
  </si>
  <si>
    <t>10.1109/CSITSS67709.2025.11294472</t>
  </si>
  <si>
    <t>https://ieeexplore.ieee.org/stamp/stamp.jsp?arnumber=11294472</t>
  </si>
  <si>
    <t>Empowering Critical Thinking Through AI: The PAIR Model's Impact on Higher Education Excellence</t>
  </si>
  <si>
    <t>This study investigates the implementation of the PAIR (Problem, AI, Interaction, Reflection) model in undergraduate business courses at Tecnologico de Monterrey, assessing its impact on critical thinking development and student engagement with Artificial Intelligence (AI) tools. A mixed-method approach was employed, involving 83 fifth-semester International Business students across two campuses. Data collection included quantitative surveys, student reflections, and course deliverable analysis. Quantitative results indicated a positive trend towards PAIR model implementation. Students reported significant improvement in critical thinking skills (Mean = 3.82, SD = 0.86) and high engagement with AI interaction activities (Mean = 3.78, SD = 0.89). 87% of students felt AI enhanced their reflection and research skills. Qualitative analysis revealed increased student awareness of the need to verify and contextualize AI-provided information, recognizing critical thinking's importance. Progress was noted in students' ability to select and evaluate multiple information sources, including AI-generated ones. The study concludes that the PAIR model can enhance critical thinking and foster active learning in AI-influenced educational environments. Structured integration of AI tools into curricula may positively impact student learning experiences and critical skill development for academic and professional life. Limitations include the sample being restricted to one degree program across two campuses and the cross-sectional nature, precluding long-term effect evaluation. Future research should explore the model's long-term impact, compare it with other AI integration models in education, and examine its applicability across various disciplines and educational levels.</t>
  </si>
  <si>
    <t>H. R. R. Maya; A. B. S. Valdes</t>
  </si>
  <si>
    <t>2024 8th International Symposium on Multidisciplinary Studies and Innovative Technologies (ISMSIT)</t>
  </si>
  <si>
    <t>10.1109/ISMSIT63511.2024.10757186</t>
  </si>
  <si>
    <t>https://ieeexplore.ieee.org/stamp/stamp.jsp?arnumber=10757186</t>
  </si>
  <si>
    <t>Integrating Andragogy Theory into a Multidisciplinary Curriculum to Achieve a Connected Program for a Doctorate in Cybersecurity</t>
  </si>
  <si>
    <t>This Innovative Practice Full Paper presents a case study on constructing and implementing a connected program in the Doctor of Science (D.Sc.) in Cybersecurity at Marymount University. We adapted a connected curriculum framework to this professional doctorate program based on two overarching pillars: andragogy theory and a multidisciplinary perspective. We use an andragogical instructional methodology that follows a learner-centered teaching philosophy to promote professional and adult learner engagement. Furthermore, the D.Sc. program takes a multidisciplinary approach to bridge and integrate domain-specific silos such as technology and its evolution, risk management, legal compliance, human factors, machine learning, business impact, and more. This integration helps enhance students' knowledge in multiple disciplinary specializations, focusing on problem-solving skills across the various domains important in cybersecurity. Building on these two pillars, our connected program model integrates five dimensions of connectivity to connect 1) academic learning and research with the workplace, 2) research activities and research-related curriculum over time, 3) various disciplines related to real-world cybersecurity challenges, 4) students with each other, across phases and with alumni, and 5) students with research and researchers across multiple domains. This paper's primary contribution is to demonstrate an innovative andrological and connected approach to tackle the ever-changing cybersecurity threats by cultivating the next generation of cybersecurity leaders with both advanced technical and refined management skills. We further showcase the potential of externalizing this framework in other settings and discuss future research work.</t>
  </si>
  <si>
    <t>A. Hall; X. M. Liu; D. Murphy</t>
  </si>
  <si>
    <t>2021 IEEE Frontiers in Education Conference (FIE)</t>
  </si>
  <si>
    <t>10.1109/FIE49875.2021.9637127</t>
  </si>
  <si>
    <t>https://ieeexplore.ieee.org/stamp/stamp.jsp?arnumber=9637127</t>
  </si>
  <si>
    <t>Implementing Artificial Intelligence in Physiotherapy Education: A Case Study on the Use of Large Language Models (LLM) to Enhance Feedback</t>
  </si>
  <si>
    <t>This article presents a controlled case study focused on implementing and using generative artificial intelligence, specifically large language models (LLMs), in physiotherapy education to assist instructors with formulating effective technology-mediated feedback for students. It outlines how these advanced technologies have been integrated into an existing feedback-oriented platform to guide instructors in providing feedback inputs and establish a reference framework for future innovations in practical skills training for health professions education. Specifically, the proposed solution uses LLMs to automatically evaluate feedback inputs made by instructors based on predefined and literature-based quality criteria and generates actionable textual explanations for reformulation. In addition, if the instructor requires, the tool supports summary generation for large sets of text inputs to achieve better student reception and understanding. The case study describes how these features were integrated into the feedback-oriented platform, how their effectiveness was evaluated in a controlled setting with documented feedback inputs, and the results of its implementation with real users through cognitive walkthroughs. Initial results indicate that this innovative implementation holds great potential to enhance learning and performance in physiotherapy education and has the potential to expand to other health disciplines where the development of procedural skills is critical, offering a valuable tool to assess and improve feedback based on quality standards for effective feedback processes. The cognitive walkthroughs allowed us to determine participants' usability decisions in the face of these new features and to evaluate the perceived usefulness, how this would integrate into their workload, and their opinion regarding the potential for the future within this teaching strategy. This article concludes with a discussion of the implications of these findings for practice and future research directions in this developing field.</t>
  </si>
  <si>
    <t>I. Villagrán; R. Hernández; G. Schuit; A. Neyem; J. Fuentes-Cimma; C. Miranda; I. Hilliger; V. Durán; G. Escalona; J. Varas</t>
  </si>
  <si>
    <t>IEEE Transactions on Learning Technologies</t>
  </si>
  <si>
    <t>10.1109/TLT.2024.3450210</t>
  </si>
  <si>
    <t>https://ieeexplore.ieee.org/stamp/stamp.jsp?arnumber=10648793</t>
  </si>
  <si>
    <t>Jacaranda Flame Consulting: Changes in Engineering Students’ Language during Structured Placements</t>
  </si>
  <si>
    <t>Engineering degree programs have traditionally considered industry placements as being a valuable educational tool. Whilst placements can be transformative for many students, for others they can be less valued and appear like little more than a period of unskilled and unsupervised labour with little guidance and outcomes that are much less than might be desirable or possible. Lessons can potentially be learnt from other disciplines where placements are more heavily structured and supervised, often in a controlled learning environment. These observations led to the development of the Jacaranda Flame Consulting program at the University of Sydney, where students undertake a 6-12-week placement within a supervised industry-like consulting environment. This engineering program also provided an opportunity to capture detailed reflections from participants on their experiences. We report on an analysis of these reflections and what they tell us about the student learnings, particularly in terms of their growth through the program.</t>
  </si>
  <si>
    <t>D. Lowe; A. Johnston; A. Kadi</t>
  </si>
  <si>
    <t>2022 International Symposium on Accreditation of Engineering and Computing Education (ICACIT)</t>
  </si>
  <si>
    <t>10.1109/ICACIT56139.2022.10041573</t>
  </si>
  <si>
    <t>https://ieeexplore.ieee.org/stamp/stamp.jsp?arnumber=10041573</t>
  </si>
  <si>
    <t>Educational innovations supported by AI, VR, AR and metaverse technologies</t>
  </si>
  <si>
    <t>In higher education, the use of emerging technologies such as artificial intelligence (AI), augmented reality (AR) and virtual reality (VR) represents a Triad of Visual Digital Innovation (TVDI), which is transforming teaching and learning processes, particularly in international collaborative projects. During the COVID-19 pandemic (2020-2022), teaching experiences with different technologies were developed, to captivate students who continued their studies virtually. At the end of the confinement, the use of the triad increased exponentially. However, the lack of specific methodologies that effectively integrate these technologies in a multicultural and sustainable context remains a challenge. The cases presented in this work demonstrate the potential of TVDI to improve teaching-learning experiences at a professional level and related to creative disciplines, which can promote greater motivation, immersion and even international collaboration. The findings suggest that the educational innovations and methodologies developed can be adapted and replicated in other educational contexts and projects that seek to integrate TDVI to address local and global challenges.</t>
  </si>
  <si>
    <t>A. Acuna; A. Juarez; R. Vazquez</t>
  </si>
  <si>
    <t>2024 International Conference on Artificial Intelligence, Metaverse and Cybersecurity (ICAMAC)</t>
  </si>
  <si>
    <t>10.1109/ICAMAC62387.2024.10829025</t>
  </si>
  <si>
    <t>https://ieeexplore.ieee.org/stamp/stamp.jsp?arnumber=10829025</t>
  </si>
  <si>
    <t>Work in progress: Experiential Learning Modules for Promoting AI Trustworthiness in STEM Disciplines</t>
  </si>
  <si>
    <t>Artificial Intelligence (AI) has experienced a strong revival recently. From autonomous vehicles to smart factories, AI is increasingly being used in STEM fields beyond computer science (CS). While AI is regularly taught in CS curricula, treatment of AI varies in other STEM disciplines. This paper describes an on-going project aimed at elevating AI knowledge and skills of non-CS STEM students and professionals. It emphasizes trustworthiness as a key factor of effective AI usage for large scale data analysis. Specifically, ten initial modules, which take an experiential learning and problem-solving pedagogical approach, have been developed and are now being piloted in fall 2021. They have been designed to be used both in a traditional classroom setting and as self-guided learning aid. This paper reports on the findings to date and aims to disseminate this exciting venture broadly for like-minded researchers to consider.</t>
  </si>
  <si>
    <t>A. C. Fong; A. K. Gupta; S. M. Carr; S. Bhattacharjee</t>
  </si>
  <si>
    <t>2022 IEEE World Engineering Education Conference (EDUNINE)</t>
  </si>
  <si>
    <t>10.1109/EDUNINE53672.2022.9782319</t>
  </si>
  <si>
    <t>https://ieeexplore.ieee.org/stamp/stamp.jsp?arnumber=9782319</t>
  </si>
  <si>
    <t>Overcoming the Challenges of Teaching Cybersecurity in UK Computer Science Degree Programmes</t>
  </si>
  <si>
    <t>This Innovative Practice Full Paper explores the diversity of challenges relating to the teaching of cybersecurity in UK higher education degree programmes, through the lens of national policy, to the impact on pedagogy and practice. There is a serious demand for cybersecurity specialists, both in the UK and globally; there is thus significant and growing higher education provision related to specialist undergraduate and postgraduate courses focusing on varying aspects of cybersecurity. To make our digital systems and products more secure, all in IT need to know some cybersecurity - thus, there is a case for depth as well as breadth; this is not a new concern, but it is a growing one. Delivering cybersecurity effectively across general computer science programmes presents a number of challenges related to pedagogy, resources, faculty and infrastructure, as well as responding to industry requirements. Computer science and cognate engineering disciplines are evolving to meet these demands - both at school-level, as well as at university - however, doing so is not without challenges. This paper explores the progress made to date in the UK, building on previous work in cybersecurity education and accreditation by highlighting key challenges and opportunities, as well as identifying a number of enhancement activities for use by the international cybersecurity education community. It frames these challenges through concerns with the quality and availability of underpinning educational resources, the competencies and skills of faculty (especially focusing on pedagogy, progression and assessment), and articulating the necessary technical resources and infrastructure related to delivering rigorous cybersecurity content in general computer science and cognate degrees. Though this critical evaluation of an emerging national case study of cybersecurity education in the UK, we also present a number of recommendations across policy and practice - from pedagogic principles and developing effective cybersecurity teaching practice, challenges in the recruitment, retention and professional development of faculty, to supporting diverse routes into post-compulsory cybersecurity education (and thus, diverse careers) - to provide the foundation for potential replicability and portability to other jurisdictions contemplating related education and skills reform initiatives and interventions.</t>
  </si>
  <si>
    <t>T. Crick; J. H. Davenport; P. Hanna; A. Irons; T. Prickett</t>
  </si>
  <si>
    <t>2020 IEEE Frontiers in Education Conference (FIE)</t>
  </si>
  <si>
    <t>10.1109/FIE44824.2020.9274033</t>
  </si>
  <si>
    <t>https://ieeexplore.ieee.org/stamp/stamp.jsp?arnumber=9274033</t>
  </si>
  <si>
    <t>Development of Innovative Educational Modules to Empower High School and Undergraduate Students to Pursue Careers in Resilient Coastal Infrastructure</t>
  </si>
  <si>
    <t>This research-to-practice full paper delineates the development and impact of an educational initiative at the University of Puerto Rico at Mayagiüez, sponsored by the Coastal Resilience Center at the University of North Carolina at Chapel Hill. This initiative utilizes constructivist, experiential, and immersive learning theories to create engaging, practical learning experiences for high school and undergraduate students, specifically tailored to the unique challenges of Puerto Rico-a region frequently subjected to extreme natural events and exposed to multihazard risk. The primary objective of this educational initiative is to address the severe shortage of professionals capable of managing and aiding recovery from natural disasters in coastal and neighboring regions. Through educational modules hosted on the Interactive Learning Hub (IL-HUB), the program aims to attract talented STEM and other disciplines students, cultivate a skilled workforce, enhance infrastructure resilience, foster innovative problem-solving skills, and bridge the gap in professional expertise necessary for effective disaster response and recovery. The initiative is particularly relevant given Puerto Rico's vulnerability to hurricanes, earthquakes, and other natural hazards. By leveraging real-world scenarios and hands-on activities, students gain a deep understanding of resilient coastal infrastructure (RCI) and disaster management practices. A mixed-method, performance-focused survey approach was employed to evaluate the effectiveness of this initiative, involving quantitative pre- and post-module assessments complemented by qualitative feedback from participants. Survey responses indicate that 85% of participants rated the lectures and activities positively, expressing satisfaction with the quality of the presentations, organization, and clarity of expression. Additionally, 85.7% of students reported a heightened curiosity or commitment to pursuing further studies or careers in resilience-related fields, highlighting the significant impact of the program on student engagement and interest in RCI. These results demonstrate a significant level of student engagement and understanding of RCI suggesting that these modules substantially promote learning and resilience planning while encouraging students to consider these areas as a professional career path. The paper outlines specific educational outcomes, including enhanced student interest in RCI careers and better preparation for addressing coastal challenges. By detailing these methods and results, the paper aims to provide a replicable model for educators seeking to integrate similar frameworks into their curriculum. This approach contributes valuable insights into the practice of engineering and resilience education in disaster-prone areas, ultimately supporting the development of a new generation of professionals equipped to handle the complexities of coastal resilience and disaster management.</t>
  </si>
  <si>
    <t>L. I. Feliciano-Cruz; C. L. Del Puerto; I. P. Trinidad; R. Z. López</t>
  </si>
  <si>
    <t>2024 IEEE Frontiers in Education Conference (FIE)</t>
  </si>
  <si>
    <t>10.1109/FIE61694.2024.10893386</t>
  </si>
  <si>
    <t>https://ieeexplore.ieee.org/stamp/stamp.jsp?arnumber=10893386</t>
  </si>
  <si>
    <t>Promoting Engagement in Computing Research for Non-CS Majors</t>
  </si>
  <si>
    <t>Recent advancements in machine learning (ML) have paved the way for new research paths across various disciplines. Nevertheless, students in the global south often have limited exposure to these breakthroughs and may not actively pursue opportunities in these emerging fields. This paper presents a case study of a training workshop that aimed to involve students from diverse undergraduate programs to actively engage in research opportunities utilizing ML skills in other application domains. To do so, we present empirical quantitative findings based on the participation of 24 undergraduate students from 10 distinct programs in workshops designed to introduce them to ML concepts and applications, as well as the research process and methodologies. We hypothesized that this kind of workshop would lead to a higher intention to do research, along with positive improvements in their assessment of self-efficacy, focusing on perceived behavioral control (PBC), behavioral beliefs (BB), and subjective norms (SN). The workshop led to an improvement in students' PBC in self-efficacy beliefs over their perceived ability, especially in the development of research and ML skills. These findings provide valuable insights and set a clear course for future initiatives, with the aim of further encouraging students' involvement and confidence in computing research initiatives.</t>
  </si>
  <si>
    <t>J. Luna; K. Chiluiza; J. Cordova-Garcia</t>
  </si>
  <si>
    <t>2024 IEEE Global Engineering Education Conference (EDUCON)</t>
  </si>
  <si>
    <t>10.1109/EDUCON60312.2024.10578852</t>
  </si>
  <si>
    <t>https://ieeexplore.ieee.org/stamp/stamp.jsp?arnumber=10578852</t>
  </si>
  <si>
    <t>The influence of curriculum and internship culture on developing ethical technologists: A case study of the University of Waterloo</t>
  </si>
  <si>
    <t>The past decade has witnessed an influx of attention to promoting ethical and responsible tech design from within the industry as well as across governmental and academic sectors. In response to these appeals, this paper engages with engineering ethics education and its approaches to developing ethically competent and socially responsible graduates. Through a case study of the University of Waterloo (uWaterloo), Canada, we observed that ethics curriculum in engineering and tech-related disciplines is not the sole influence of the burgeoning technologist’s ethical reasoning skills, but that cooperative (co-op) education and internship culture play a significant role as students are exposed to the ethos of the innovation-driven tech industry that permeates uWaterloo and surrounding Kitchener-Waterloo region. We suggest that the cultural religiosity of co-op education, epitomized through an omnipresent “Cali[fornia]-or-Bust” mindset, results in a distortion of motives toward practicing responsible tech design. This study draws upon survey responses of undergraduate engineering students from a communications course which focused on the ethical dimensions of engineering work. The results indicate that students recognize the importance of ethics but struggle to relate these principles to other courses, projects, and their co-op roles. To this end, we conclude that there is an ethical disconnect between engineering curriculum and the culture of tech-based co-op education, resulting in a de-emphasis of ethical and responsible practice to future graduates. Future work will need to consider alternative approaches to teaching ethics that account for the range of students’ educational and work-related experiences, as well as take an ethnographic perspective on the coop and internship culture that exists at uWaterloo and other schools with similar models of integrated work-study.</t>
  </si>
  <si>
    <t>C. Truax; A. Orchard; H. A. Love</t>
  </si>
  <si>
    <t>2021 IEEE International Symposium on Technology and Society (ISTAS)</t>
  </si>
  <si>
    <t>10.1109/ISTAS52410.2021.9629124</t>
  </si>
  <si>
    <t>https://ieeexplore.ieee.org/stamp/stamp.jsp?arnumber=9629124</t>
  </si>
  <si>
    <t>An Outcome Based Approach for Applied Mechanics Courses using Bloom’s Taxonomy and ABET Criteria</t>
  </si>
  <si>
    <t>There has been a gradual shift from a content-centered to an outcome-based approach for more effective teaching and learning, especially in engineering courses. Employers have been increasingly demanding engineering graduates possessing an optimal blend of technical (discipline-oriented) and non-technical or soft skills. This paper presents a unique pedagogical approach of blending Bloom's taxonomy and ABET criteria to develop student outcomes and to conduct a course in an activity-based environment. A mapping has been developed to correlate Bloom's taxonomy levels and ABET student outcomes. A mid-level course in the area of Applied Mechanics (Mechanics of Solids) is presented as a case study. Instructional strategy and implementation in the course is discussed through various activities, involving some key principles of solid mechanics. Integration of ABET criteria and Bloom's taxonomy, correlation matrix for the two philosophies, and improved course delivery. Effectiveness of the proposed innovative approach was evaluated through a students' survey. The methodology was well received, and the survey results were very encouraging. This integrated strategy can be easily adopted for other courses in the Applied Mechanics and Design stream, and for other engineering and science courses.</t>
  </si>
  <si>
    <t>K. Alam; S. Z. Qamar; A. Al-Shabibi</t>
  </si>
  <si>
    <t>2021 IEEE Global Engineering Education Conference (EDUCON)</t>
  </si>
  <si>
    <t>10.1109/EDUCON46332.2021.9453932</t>
  </si>
  <si>
    <t>https://ieeexplore.ieee.org/stamp/stamp.jsp?arnumber=9453932</t>
  </si>
  <si>
    <t>Aligning Academic Efforts with Key Industries: A Case of Computing at the University of Namibia</t>
  </si>
  <si>
    <t>Preparing future graduates for the workplace should involve linkage with industry. Ultimately, students gain valuable insight into real-life projects, preparing them for future careers. However, universities in some developing countries lag in their initiatives to promote industry-academia collaboration. In this paper, we explore how to strengthen academic efforts at the University of Namibia (UNAM) with the assistance of industry in Namibia. In the study, we analyse: 1) current practices of industry collaboration worldwide published in ACM and IEEE digital library through a scoping review, and 2) students' capstone projects conducted in the final year of the Bachelor of Science (Honors) in the computing discipline in 2020 - 2022 at UNAM. The analysis from the scoping review found six (6) different University-Industry Collaboration initiatives employed in universities worldwide. Additionally, the review of current students' theses indicates that they are not aligned with all four key industries in Namibia: Mining, Tourism, Fisheries, and Agriculture. Hence, we contextualised the analysis by reflecting upon the economic drivers and demands of the country. The preliminary outcomes of this study allowed us to propose the incorporation of the Conceive, Design, Implement, and Operate model in the computing degree programme that UNAM can adopt in developing an effective curriculum that aligns with the demands of the key relevant industries in Namibia. The aim is to support the development of new talent that will promote the country's economic growth. Reflecting on this process can also benefit other universities in developing countries by assisting them in contextualising their curricula and addressing their local and national requirements.</t>
  </si>
  <si>
    <t>M. N. Ntinda; C. I. Sedano; M. Apiola; E. Sutinen</t>
  </si>
  <si>
    <t>10.1109/FIE58773.2023.10343344</t>
  </si>
  <si>
    <t>https://ieeexplore.ieee.org/stamp/stamp.jsp?arnumber=10343344</t>
  </si>
  <si>
    <t>Implementation of the Personal Software Process (PSP) in Software Engineering Education: A Case Study</t>
  </si>
  <si>
    <t>The Personal Software Process (PSP), developed by Watts Humphrey, is a methodology designed to improve individual performance in software development through disciplined planning, tracking, and analysis practices. This study implemented PSP in an academic setting to evaluate its impact on the productivity and quality of software developed by university students. The study was conducted in the Software Processes course, where 18 students applied PSP while individually developing an address book application. Standardized templates were used to record time per phase, defects introduced, defects removed, and other relevant metrics. This case study used a quantitative approach with a non-experimental, cross-sectional design. Analysis of the collected data revealed patterns in the effort invested, code quality, and individual productivity. The results indicate that applying PSP enabled students to gain greater control over their time, improve early defect detection, and reflect upon their work habits. The study concludes that integrating PSP into the classroom fosters the development of practical skills related to quality, self-regulation, and continuous improvement in software engineering performance.</t>
  </si>
  <si>
    <t>L. Á. R. Díaz; P. M. Moreno; J. A. V. Camacho; G. C. Vega</t>
  </si>
  <si>
    <t>2025 Mexican International Conference on Computer Science (ENC)</t>
  </si>
  <si>
    <t>10.1109/ENC68268.2025.11311909</t>
  </si>
  <si>
    <t>https://ieeexplore.ieee.org/stamp/stamp.jsp?arnumber=11311909</t>
  </si>
  <si>
    <t>The Use of AI-powered Language Tools in Crowdsourcing to reduce Language Barriers</t>
  </si>
  <si>
    <t>Crowdsourcing platforms gather people from different backgrounds to work on completing microtasks. The workers on those platforms are presented with tasks defined by requesters from all over the world. The tasks are defined in multiple languages, with English being the predominant language. It is unclear how language barriers can affect workers whose primary language is not English while completing tasks. In this paper, we study their practices and the impact of AI-powered tools on the completion of microtasks. We conduct a pre-test test field experiment in which workers share their current experience with the platform and receive basic training in the use of AI-powered tools. After a week, workers provide feedback on their practices and experiences. We find that workers who complete tasks in their primary language report less confidence in completing English tasks, and in general, workers perceive the use of the tools as a language-learning mechanism. We aim that the understanding of language barriers in crowd markets can promote more inclusive work conditions.</t>
  </si>
  <si>
    <t>C. Delgado-Solorzano; C. Toxtli</t>
  </si>
  <si>
    <t>2024 IEEE International Conferences on Internet of Things (iThings) and IEEE Green Computing &amp; Communications (GreenCom) and IEEE Cyber, Physical &amp; Social Computing (CPSCom) and IEEE Smart Data (SmartData) and IEEE Congress on Cybermatics</t>
  </si>
  <si>
    <t>10.1109/iThings-GreenCom-CPSCom-SmartData-Cybermatics62450.2024.00110</t>
  </si>
  <si>
    <t>https://ieeexplore.ieee.org/stamp/stamp.jsp?arnumber=10731803</t>
  </si>
  <si>
    <t>Approaching Convergence from an Undergraduate Engineering Perspective</t>
  </si>
  <si>
    <t>This research-to-practice full paper presents and approach to bringing convergence to the undergraduate engineering context. Convergence is the process of integrating a variety of ideas, skills, and methods to create new ideas, skills, and methods in order to address complex, socially relevant challenges like the UN Sustainable Development Goals [1] and the National Academy of Engineering's (NAE) Grand Challenges [2]. In the US, the National Science Foundation (NSF) has been a major driver of convergence related research and has focused on work primarily at the graduate level and beyond. To explore how convergence concepts translate to an undergraduate engineering context this research to practice paper describes a taxonomy that translates convergent knowledge, skills, and mindsets into the domain of undergraduate engineering education. While we do not believe it is reasonable to expect undergraduates to engage with convergence in the same way as graduate students or postdoctoral scholars, we believe that they can develop in areas that will allow them to engage in convergent work later in their careers. This paper first defines convergence and then examines the challenges and opportunities related to developing a student's ability to do convergent work in an undergraduate context. The developed taxonomy outlines the knowledge, skills, mindsets, and structures that support convergent work from the larger research literature, and adapts these to an undergraduate context. The taxonomy is then used to conduct a gap analysis of an undergraduate electrical and computer engineering degree program. This analysis is based on the syllabi. This work was conducted in the context of an electrical and computer engineering department situated in a medium-sized primarily undergraduate liberal arts institution in the mid-Atlantic region. As the challenges and opportunities are similar to but also unique to this institution this work forms a rich case study that can inform similar efforts in other institutions and contexts where a similar gap analysis may be beneficial. The goal of this work is to enable others to analyze an their existing student experience to see what aspects of convergence are currently included.</t>
  </si>
  <si>
    <t>M. S. Thompson; S. Applehans; A. Cheville; R. Thomas; S. J. Thomas; R. Nickel; P. Asare</t>
  </si>
  <si>
    <t>10.1109/FIE61694.2024.10893391</t>
  </si>
  <si>
    <t>https://ieeexplore.ieee.org/stamp/stamp.jsp?arnumber=10893391</t>
  </si>
  <si>
    <t>CopyPoppy – A Source Code Plagiarism Detector</t>
  </si>
  <si>
    <t>As the technology advances over the years, students have flooded into courses that are related to computer science across the globe, recognizing them as an opportunity to work at known companies like Google and Facebook as one of their main interests. Though, the spike in interest for these courses coincided with an undesirable side effect: a rising number of source code plagiarism. This paper is about solving programming plagiarism problems by developing a source code plagiarism system in Java called CopyPoppy. It is important to note that there are students that understand code solutions and use them as a foundation to write their own code. These kinds of cases may not be necessarily considered as plagiarising as they are only using other’s source code as an inspiration for their finished code. Therefore, there are a lot of aspects that need to be taken into account when deciding whether a source code is plagiarised or not. Therefore, CopyPoppy is designed to be able to distinguish between what is considered plagiarism and what is not. The existence of CopyPoppy hopefully will encourage more and more students to learn and write their own source code with their highest level of ability and quality as a way to develop self-discipline and to grasp their level of understanding through concepts and skills that they have learnt.</t>
  </si>
  <si>
    <t>N. F. A. N. Rahiman; M. G. M. Johar; R. A. A. Helmi</t>
  </si>
  <si>
    <t>2022 IEEE 10th Conference on Systems, Process &amp; Control (ICSPC)</t>
  </si>
  <si>
    <t>10.1109/ICSPC55597.2022.10001740</t>
  </si>
  <si>
    <t>https://ieeexplore.ieee.org/stamp/stamp.jsp?arnumber=10001740</t>
  </si>
  <si>
    <t>A Feasibility Study of Culture-Aware Cloud Services for Conversational Robots</t>
  </si>
  <si>
    <t>Cultural competence - i.e., the capability to adapt verbal and non-verbal interaction to the user's cultural background - may be a key element for social robots to increase the user experience. However, designing and implementing culturally competent social robots is a complex task, given that advanced conversational skills are required. In this context, Cloud services may be useful for helping robots in generating appropriate interaction patterns in a culture-aware manner. In this letter, we present the design and the implementation of the CARESSES Cloud, a set of robotic services aimed at endowing robots with cultural competence in verbal interaction. A preliminary evaluation of the Cloud services as a general dialoguing system for culture-aware social robots has been performed, analyzing the feasibility of the architecture in terms of communication and data processing delays.</t>
  </si>
  <si>
    <t>C. T. Recchiuto; A. Sgorbissa</t>
  </si>
  <si>
    <t>IEEE Robotics and Automation Letters</t>
  </si>
  <si>
    <t>10.1109/LRA.2020.3015461</t>
  </si>
  <si>
    <t>https://ieeexplore.ieee.org/stamp/stamp.jsp?arnumber=9165168</t>
  </si>
  <si>
    <t>Towards Dataset-Scale and Feature-Oriented Evaluation of Text Summarization in Large Language Model Prompts</t>
  </si>
  <si>
    <t>Recent advancements in Large Language Models (LLMs) and Prompt Engineering have made chatbot customization more accessible, significantly reducing barriers to tasks that previously required programming skills. However, prompt evaluation, especially at the dataset scale, remains complex due to the need to assess prompts across thousands of test instances within a dataset. Our study, based on a comprehensive literature review and pilot study, summarized five critical challenges in prompt evaluation. In response, we introduce a feature-oriented workflow for systematic prompt evaluation. In the context of text summarization, our workflow advocates evaluation with summary characteristics (feature metrics) such as complexity, formality, or naturalness, instead of using traditional quality metrics like ROUGE. This design choice enables a more user-friendly evaluation of prompts, as it guides users in sorting through the ambiguity inherent in natural language. To support this workflow, we introduce Awesum, a visual analytics system that facilitates identifying optimal prompt refinements for text summarization through interactive visualizations, featuring a novel Prompt Comparator design that employs a BubbleSet-inspired design enhanced by dimensionality reduction techniques. We evaluate the effectiveness and general applicability of the system with practitioners from various domains and found that (1) our design helps overcome the learning curve for non-technical people to conduct a systematic evaluation of summarization prompts, and (2) our feature-oriented workflow has the potential to generalize to other NLG and image-generation tasks. For future works, we advocate moving towards feature-oriented evaluation of LLM prompts and discuss unsolved challenges in terms of human-agent interaction.</t>
  </si>
  <si>
    <t>S. Y. -T. Lee; A. Bahukhandi; D. Liu; K. -L. Ma</t>
  </si>
  <si>
    <t>IEEE Transactions on Visualization and Computer Graphics</t>
  </si>
  <si>
    <t>10.1109/TVCG.2024.3456398</t>
  </si>
  <si>
    <t>https://ieeexplore.ieee.org/stamp/stamp.jsp?arnumber=10669798</t>
  </si>
  <si>
    <t>Source title</t>
  </si>
  <si>
    <t>booktitle</t>
  </si>
  <si>
    <t>number</t>
  </si>
  <si>
    <t>articleno</t>
  </si>
  <si>
    <t>pages</t>
  </si>
  <si>
    <t>Topical Analysis of Programming Education Research Literature</t>
  </si>
  <si>
    <t>Programming is taught globally in universities and in a large number of countries, also in schools, often associated with learning computational thinking. It is therefore natural that programming education research is the widest research area within Computing Education Research. Much of this research has taken place and published in conferences and journals associated with the ACM SIGCSE community. However, research related to teaching and learning programming is also published in numerous other venues, which are associated, for example, with the IEEE Computer or IEEE Education societies and other organizations within the fields of engineering education, science education, and educational sciences. Previous general reviews in programming education research have largely focused on the introductory programming level. However, there is much work published addressing more advanced topical areas, too. In this article, the goal is to look at the global situation covering programming education research at different levels. Based on the analysis of over 30,000 papers from the Scopus database addressing computing education and computing education research, we identified 9,865 papers focusing on programming education, published between 1967 and 2023. We describe this filtered dataset and report the results of topic modelling based on titles, abstracts, and keywords in this dataset. We identified 27 topical areas, which form 7 broader themes of research: CS1 and CS2, computing in schools, advanced topics, pedagogy and objectives, evaluation, digital and physical facilities, as well as investigation. We describe work in each of these areas, how research activity has developed in the areas over the decades, how the topics are related to each other, and how work in different areas is more likely to be published in specific conferences and journals/magazines in the field.</t>
  </si>
  <si>
    <t>Malmi, Lauri and L\'{o}pez-Pernas, Sonsoles and Nguyen, Hung and Apiola, Mikko and Saqr, Mohammed</t>
  </si>
  <si>
    <t>10.1145/3767734</t>
  </si>
  <si>
    <t>https://doi-org.ez16.periodicos.capes.gov.br/10.1145/3767734</t>
  </si>
  <si>
    <t>ITiCSE 2025: Proceedings of the 30th ACM Conference on Innovation and Technology in Computer Science Education V. 2</t>
  </si>
  <si>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</si>
  <si>
    <t>10.1145/3724389</t>
  </si>
  <si>
    <t>Inconforme - Publicações com menos de 4 páginas</t>
  </si>
  <si>
    <t>Learning to Code in a Conversion Course with Content Co-creation</t>
  </si>
  <si>
    <t>Teaching programming to mixed-background learners poses the challenge of balancing the learning experience in the class. In this research, we investigated the impact of content co-creation teaching approach for a programming module in the master’s conversion course. The content co-creation allowed students to create their own problem to solve using the programming skills they learn in class. The class test and questionnaire were used to evaluate the effectiveness of the teaching approach. The results showed that there were no significant differences in test score between students with a computing and non-computing background. The participating students had a strong positive opinion about the teaching approach.</t>
  </si>
  <si>
    <t xml:space="preserve">Jarutas Andritsch, Adriana Wilde, and Karen Arm. </t>
  </si>
  <si>
    <t>https://doi.org/10.1145/3724389.3730812</t>
  </si>
  <si>
    <t>Bridge Programs: Pathways to Computing for All</t>
  </si>
  <si>
    <t>The growing demand for computing professionals calls for innovative pathways that welcome individuals from non-computing backgrounds. Post-baccalaureate bridge programs help broaden access by supporting learners from diverse academic disciplines, career trajectories, and socioeconomic backgrounds. The MS Pathways to Computing (MSPC) Consortium, a network of 36 U.S. institutions, advances these efforts to create equitable pathways to master’s degrees in computer science. 
While U.S. bridge programs have gained momentum, they could have global impact. In many countries, early specialization and entrance exams limit flexibility for those who discover computing later. Bridge programs offer a structured, time- and cost-effective pathway for career changers, and adapting these models to fit different educational systems could create alternative entry points into computing. This session will engage an international audience in discussions on how bridge programs can be tailored to diverse contexts to broaden participation in computing and meet the global demand for skilled professionals.</t>
  </si>
  <si>
    <t>Anu G. Bourgeois, Wendy Fisher, Albert Lionelle, Armin R. Mikler, and Raffaella Settimi</t>
  </si>
  <si>
    <t>https://doi.org/10.1145/3724389.3730765</t>
  </si>
  <si>
    <t>Koli Calling '25: Proceedings of the 25th Koli Calling International Conference on Computing Education Research</t>
  </si>
  <si>
    <t>10.1145/3769994</t>
  </si>
  <si>
    <t>Computing is a key skill needed in today’s increasingly digital world. However, for novice learners outside of computer science programs, the experience of learning to program can elicit “a river of tears,” as a graduate student provocatively reported in our recent interview study. Seventeen graduate students from the social sciences participated in semi-structured interviews focused on how they acquire programming skills, the barriers they face, and the resources they wish they could access. Through data-driven thematic analysis, we found common values underlying social science graduate students’ desired learning supports including availability, transferability, and connection. Future learning strategies and supports to ameliorate social science graduate students’ experiences could focus on resolving tensions between values, minimizing the wide disparity in resources among social science graduate students, and increasing the transferability support structures and the connections between social science graduate students, peers, and instructors. This research project contributes empirical understandings of social science graduate students’ experiences learning to program for their independent research.</t>
  </si>
  <si>
    <t>A growing number of non-CS major students are enrolling in CS courses, alongside increased recognition that computing is critical to many fields. However, despite their perception of computing’s importance, many of these students lose interest in CS and stop taking additional CS courses. In this study, we examine non-CS major students’ CS learning experiences using the Model of Interest Development, a framework that models how learners’ interest in academic domains progresses through phases of increasing engagement. Through semi-structured interviews with 19 non-CS major students, we identify key factors common among students who develop the most sustained interest in CS and those who do not. We find that non-CS majors’ initial interest is often triggered by external advice and hazy perceptions of computing’s importance, even when their understanding of the field is limited. Continued interest depends heavily on the perceived relevance of course content, the presence of a supportive learning environment, self-efficacy in learning computing and pursuing CS-related careers, and the extent to which courses address or reinforce generalizations and biases about computing. For those who develop the strongest interest, key factors include beliefs about the level of CS knowledge needed for their career goals and whether their stereotypes about CS are effectively challenged. Our findings provide insight into why previous efforts to improve the persistence of non-CS major students may have fallen short and highlight implications for course design, interventions, and institutional policies to better support students’ interest development.</t>
  </si>
  <si>
    <t>SIGCSE 2024: Proceedings of the 55th ACM Technical Symposium on Computer Science Education V. 2</t>
  </si>
  <si>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</si>
  <si>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10.1145/3626253</t>
  </si>
  <si>
    <t>ITiCSE 2024: Proceedings of the 2024 on Innovation and Technology in Computer Science Education V. 1</t>
  </si>
  <si>
    <t>Welcome to the 29th annual conference on Innovation and Technology in Computer Science Education (ITiCSE 2024), hosted by Universit\`{a} degli Studi di Milano in Milan, Italy.ITiCSE 2024 will take place from Friday July 5 to Wednesday July 10. The conference program includes a keynote address, paper sessions, a panel, tips, techniques \&amp;amp; courseware demonstrations, posters, a doctoral consortium, and working group presentations. Working groups meet July 5-7 and will submit draft reports before the conference begins on July 8.The submissions to ITiCSE 2024 were reviewed by 446 researchers and practitioners from computing education and related fields, including 44 program committee members and 402 reviewers.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t>
  </si>
  <si>
    <t>10.1145/3649217</t>
  </si>
  <si>
    <t>Dipping a Toe Into Computing: Offering a Short-Term Program for Students Majoring in Other Fields</t>
  </si>
  <si>
    <t>The expanding applications of technology across sectors, coupled with the rising demand for qualified graduates, necessitate consideration of new ways to increase engagement with the discipline of computing. Towards this goal, we established a week-long program for non-majors to explore computing concepts (e.g., artificial intelligence) and aid in their professional development (e.g., through fostering presentation skills). We also sought to cultivate a community and incorporated peer and industry mentorship. In the experience report that follows, we detail the novel program and its evolution over five iterations across two institutions. We applied the Community of Inquiry framework to contextualize the programmatic design and its evaluation. Surveys collected daily gave insight into the student perspective on the various lessons and activities offered, with feedback from up to n = 141 students in total. Apart from including Likert-scale ratings to quantify preferences for each session, open-ended responses allowed greater understanding around what may have been viewed favorably or what could require further improvements. Based on the findings, we highlight how aspects of the experience may have contributed to the participants' engagement with the content, with others involved in the program, and with respect to learning outcomes. The session details and reflections presented are intended to inform as well as offer inspiration to other educators and administrators who may seek to introduce students from other majors to computing.</t>
  </si>
  <si>
    <t>Lunn, Stephanie J. and Arunachalam, Nimmi and Becerra, Nicole and Weiss, Mark and Liu, Jason and Narasimhan, Giri</t>
  </si>
  <si>
    <t>Proceedings of the 30th ACM Conference on Innovation and Technology in Computer Science Education V. 1</t>
  </si>
  <si>
    <t>263 - 269</t>
  </si>
  <si>
    <t>10.1145/3724363.3729051</t>
  </si>
  <si>
    <t>https://doi-org.ez16.periodicos.capes.gov.br/10.1145/3724363.3729051</t>
  </si>
  <si>
    <t>UKICER '22: Proceedings of the 2022 Conference on United Kingdom \&amp;amp; Ireland Computing Education Research</t>
  </si>
  <si>
    <t>10.1145/3555009</t>
  </si>
  <si>
    <t>ISAIE '24: Proceedings of the 2024 International Symposium on Artificial Intelligence for Education</t>
  </si>
  <si>
    <t>10.1145/3700297</t>
  </si>
  <si>
    <t xml:space="preserve">Coding for computer programming is a common way to support and assess computational thinking (CT) skills, a set of problem-solving skills essential for computer science (CS) and STEM more broadly. We designed a coding platform, Fox and Field, to determine what kinds of scaffolds can encourage novice coders to behave more like experts. We compared actions between 221 upper-division undergraduate CS/engineering (expert, n=106) and social science (novice, n=115) majors randomized to scaffolding conditions from four universities in the United States. Overall, experts used statistically significantly more practices aligned with CT skills, such as those that increased code efficiency (e.g., non-right angle turns, loops). This difference disappeared when novices were scaffolded by being told to use fewer codes or by priming with critical features. Both experts and novices were equally likely to be swayed by purposefully distracting features within the platform, such as a drawn path to deflect them from the most efficient solution. Results present initial evidence regarding which features of coding platforms can direct students to exercise CT-linked practices, leading to recommendations regarding platform development to better support learning. </t>
  </si>
  <si>
    <t>ICIEAI '23: Proceedings of the 2023 International Conference on Information Education and Artificial Intelligence</t>
  </si>
  <si>
    <t>10.1145/3660043</t>
  </si>
  <si>
    <t>Reducing Barriers to Entry by Removing Prerequisites for a CS1 Introductory Programming Course</t>
  </si>
  <si>
    <t>Introductory programming has evolved in many places to become a CS0 course, enabling students to get their feet wet with programming without completing significant math coursework. A scan of CS programs shows that a majority of CS1 programming courses that count towards an undergraduate CS degree continue to have a math or CS0 prerequisite. This experience report discusses the impact of removing the math prerequisite at an R2 university and a small liberal arts college. Having minimal prerequisites has beneficial effects in terms of diversifying the CS student body as well as enabling students to begin CS coursework early, often in the first semester, potentially impacting persistence, but also enabling students to decide, early, if CS is right for them. The high success rate of students of various backgrounds taking CS certificates and pursuing graduate school also shows that aggressive prerequisites in the past may have been functioning as barriers to entering CS programs. If we are serious about supporting diversity, we need to acknowledge the wide disparity in high school education nationwide and that prerequisites are perhaps functioning as a needless barrier. Where the CS0 course doesn't count towards a degree, or there isn't space for that requirement in the program, it is also worth considering whether the CS0 prerequisite is necessary.</t>
  </si>
  <si>
    <t>Das, Udayan and Fulton, Chris</t>
  </si>
  <si>
    <t>Proceedings of the 55th ACM Technical Symposium on Computer Science Education V. 2</t>
  </si>
  <si>
    <t>1616-1617</t>
  </si>
  <si>
    <t>10.1145/3626253.3635492</t>
  </si>
  <si>
    <t>https://doi-org.ez16.periodicos.capes.gov.br/10.1145/3626253.3635492</t>
  </si>
  <si>
    <t>SIGGRAPH '24: ACM SIGGRAPH 2024 Educator's Forum</t>
  </si>
  <si>
    <t>10.1145/3641235</t>
  </si>
  <si>
    <t>LAK '24: Proceedings of the 14th Learning Analytics and Knowledge Conference</t>
  </si>
  <si>
    <t>10.1145/3636555</t>
  </si>
  <si>
    <t>AVI '24: Proceedings of the 2024 International Conference on Advanced Visual Interfaces</t>
  </si>
  <si>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</si>
  <si>
    <t>10.1145/365665</t>
  </si>
  <si>
    <t>NordiCHI '24: Proceedings of the 13th Nordic Conference on Human-Computer Interaction</t>
  </si>
  <si>
    <t>10.1145/3679318</t>
  </si>
  <si>
    <t>HT '25: Proceedings of the 36th ACM Conference on Hypertext and Social Media</t>
  </si>
  <si>
    <t>10.1145/3720553</t>
  </si>
  <si>
    <t>HRI Companion '26: Companion Proceedings of the 21st ACM/IEEE International Conference on Human-Robot Interaction</t>
  </si>
  <si>
    <t>Welcome to the 21st Annual IEEE/ACM International Conference on Human-Robot Interaction: we are very excited to welcome the HRI community to Edinburgh, UK to celebrate the 21st anniversary of the conference. We are excited to announce that the HRI conference series has this year been awarded Category A status. Category A conferences are considered to be top-tier, prestigious, and highly influential, often serving as flagship events in their particular computer science area.</t>
  </si>
  <si>
    <t>10.1145/3776734</t>
  </si>
  <si>
    <t>IUI '23: Proceedings of the 28th International Conference on Intelligent User Interfaces</t>
  </si>
  <si>
    <t>10.1145/3581641</t>
  </si>
  <si>
    <t>SIGMIS-CPR '22: Proceedings of the 2022 Computers and People Research Conference</t>
  </si>
  <si>
    <t>ACM SIGMIS CPR, for the 59th edition, continues to bring together the academic and practitioner communities to discuss issues at the intersection of society, organizations, individuals and information technology (IT).</t>
  </si>
  <si>
    <t>10.1145/3510606</t>
  </si>
  <si>
    <t>EASE '25: Proceedings of the 29th International Conference on Evaluation and Assessment in Software Engineering</t>
  </si>
  <si>
    <t>10.1145/3756681</t>
  </si>
  <si>
    <t>EAAMO '23: Proceedings of the 3rd ACM Conference on Equity and Access in Algorithms, Mechanisms, and Optimization}</t>
  </si>
  <si>
    <t>10.1145/3617694</t>
  </si>
  <si>
    <t>CHI '23: Proceedings of the 2023 CHI Conference on Human Factors in Computing Systems</t>
  </si>
  <si>
    <t>10.1145/3544548</t>
  </si>
  <si>
    <t>CHI '24: Proceedings of the 2024 CHI Conference on Human Factors in Computing Systems</t>
  </si>
  <si>
    <t>10.1145/3613904</t>
  </si>
  <si>
    <t>HAI '23: Proceedings of the 11th International Conference on Human-Agent Interaction</t>
  </si>
  <si>
    <t>10.1145/3623809</t>
  </si>
  <si>
    <t>FAccT '23: Proceedings of the 2023 ACM Conference on Fairness, Accountability, and Transparency</t>
  </si>
  <si>
    <t>10.1145/3593013</t>
  </si>
  <si>
    <t>CHI EA '21: Extended Abstracts of the 2021 CHI Conference on Human Factors in Computing Systems</t>
  </si>
  <si>
    <t>10.1145/3411763</t>
  </si>
  <si>
    <t>CHI '21: Proceedings of the 2021 CHI Conference on Human Factors in Computing Systems</t>
  </si>
  <si>
    <t>10.1145/3411764</t>
  </si>
  <si>
    <t>CQ1 - Metodologia clara</t>
  </si>
  <si>
    <t>CQ2 - Contexto claro e bem definido</t>
  </si>
  <si>
    <t>CQ3 - Objetivos bem definidos</t>
  </si>
  <si>
    <t>CQ4 - Discussão sobre resultados encontrados</t>
  </si>
  <si>
    <t>CQ5 - Mencionou desafios, limitações ou ameaças</t>
  </si>
  <si>
    <t>Artigos</t>
  </si>
  <si>
    <t>Tipo de Artigo/Publicação</t>
  </si>
  <si>
    <t>Número de Páginas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</si>
</sst>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4">
    <font>
      <sz val="10.0"/>
      <color rgb="FF000000"/>
      <name val="Arial"/>
      <scheme val="minor"/>
    </font>
    <font>
      <b/>
      <color theme="1"/>
      <name val="Mukta"/>
    </font>
    <font>
      <b/>
      <sz val="9.0"/>
      <color theme="1"/>
      <name val="Mukta"/>
    </font>
    <font>
      <color theme="1"/>
      <name val="Arial"/>
      <scheme val="minor"/>
    </font>
    <font>
      <color theme="1"/>
      <name val="Mukta"/>
    </font>
    <font>
      <u/>
      <color rgb="FF0000FF"/>
    </font>
    <font>
      <color theme="1"/>
      <name val="Arial"/>
    </font>
    <font>
      <u/>
      <color rgb="FF0000FF"/>
    </font>
    <font>
      <color rgb="FF000000"/>
      <name val="Arial"/>
    </font>
    <font>
      <u/>
      <sz val="10.0"/>
      <color rgb="FF0000FF"/>
      <name val="Arial"/>
    </font>
    <font>
      <u/>
      <sz val="10.0"/>
      <color rgb="FF0000FF"/>
      <name val="Arial"/>
    </font>
    <font>
      <u/>
      <sz val="10.0"/>
      <color rgb="FF0000FF"/>
      <name val="Arial"/>
    </font>
    <font>
      <u/>
      <color rgb="FF1155CC"/>
      <name val="Mukta"/>
    </font>
    <font>
      <u/>
      <color rgb="FF1155CC"/>
      <name val="Mukta"/>
    </font>
    <font>
      <u/>
      <color rgb="FF1155CC"/>
      <name val="Mukta"/>
    </font>
    <font>
      <u/>
      <color rgb="FF1155CC"/>
      <name val="Mukta"/>
    </font>
    <font>
      <u/>
      <color rgb="FF1155CC"/>
      <name val="Mukta"/>
    </font>
    <font>
      <u/>
      <color rgb="FF1155CC"/>
      <name val="Mukta"/>
    </font>
    <font>
      <color rgb="FFFFFFFF"/>
      <name val="Arial"/>
    </font>
    <font>
      <u/>
      <color rgb="FF0000FF"/>
      <name val="Arial"/>
    </font>
    <font>
      <u/>
      <color rgb="FF0000FF"/>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font>
    <font>
      <u/>
      <color rgb="FF1155CC"/>
      <name val="Arial"/>
    </font>
    <font>
      <u/>
      <color rgb="FF1155CC"/>
      <name val="Arial"/>
    </font>
    <font>
      <sz val="10.0"/>
      <color theme="1"/>
      <name val="Arial"/>
    </font>
    <font>
      <sz val="10.0"/>
      <color rgb="FF000000"/>
      <name val="Arial"/>
    </font>
    <font>
      <u/>
      <sz val="10.0"/>
      <color rgb="FF0000FF"/>
      <name val="Arial"/>
    </font>
    <font>
      <b/>
      <sz val="10.0"/>
      <color theme="1"/>
      <name val="Arial"/>
    </font>
    <font>
      <u/>
      <sz val="10.0"/>
      <color rgb="FF1155CC"/>
      <name val="Arial"/>
    </font>
    <font>
      <u/>
      <sz val="10.0"/>
      <color rgb="FF0000FF"/>
      <name val="Arial"/>
    </font>
    <font>
      <u/>
      <sz val="10.0"/>
      <color rgb="FF1155CC"/>
      <name val="Arial"/>
    </font>
    <font>
      <u/>
      <sz val="10.0"/>
      <color rgb="FF1155CC"/>
      <name val="Arial"/>
    </font>
    <font>
      <u/>
      <color rgb="FF1155CC"/>
      <name val="Arial"/>
    </font>
    <font>
      <b/>
      <color rgb="FFFFFFFF"/>
      <name val="Mukta"/>
    </font>
    <font>
      <b/>
      <color rgb="FF000000"/>
      <name val="Mukta"/>
    </font>
    <font>
      <u/>
      <sz val="10.0"/>
      <color rgb="FF0000FF"/>
      <name val="Arial"/>
    </font>
    <font>
      <u/>
      <color rgb="FF1155CC"/>
      <name val="Arial"/>
    </font>
    <font>
      <sz val="12.0"/>
      <color theme="1"/>
      <name val="Calibri"/>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434343"/>
        <bgColor rgb="FF434343"/>
      </patternFill>
    </fill>
    <fill>
      <patternFill patternType="solid">
        <fgColor theme="0"/>
        <bgColor theme="0"/>
      </patternFill>
    </fill>
    <fill>
      <patternFill patternType="solid">
        <fgColor rgb="FFB6D7A8"/>
        <bgColor rgb="FFB6D7A8"/>
      </patternFill>
    </fill>
    <fill>
      <patternFill patternType="solid">
        <fgColor rgb="FF000000"/>
        <bgColor rgb="FF000000"/>
      </patternFill>
    </fill>
    <fill>
      <patternFill patternType="solid">
        <fgColor rgb="FFD0E0E3"/>
        <bgColor rgb="FFD0E0E3"/>
      </patternFill>
    </fill>
  </fills>
  <borders count="1">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vertical="center"/>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2" numFmtId="0" xfId="0" applyAlignment="1" applyFont="1">
      <alignment horizontal="center" readingOrder="0" shrinkToFit="0" vertical="center" wrapText="1"/>
    </xf>
    <xf borderId="0" fillId="0" fontId="3" numFmtId="0" xfId="0" applyAlignment="1" applyFont="1">
      <alignment vertical="center"/>
    </xf>
    <xf borderId="0" fillId="3" fontId="4" numFmtId="0" xfId="0" applyAlignment="1" applyFill="1" applyFont="1">
      <alignment horizontal="center" vertical="center"/>
    </xf>
    <xf borderId="0" fillId="3" fontId="4" numFmtId="0" xfId="0" applyAlignment="1" applyFont="1">
      <alignment readingOrder="0" vertical="center"/>
    </xf>
    <xf borderId="0" fillId="3" fontId="3" numFmtId="0" xfId="0" applyAlignment="1" applyFont="1">
      <alignment horizontal="left" readingOrder="0" vertical="center"/>
    </xf>
    <xf borderId="0" fillId="3" fontId="3" numFmtId="0" xfId="0" applyAlignment="1" applyFont="1">
      <alignment horizontal="left" readingOrder="0" shrinkToFit="0" vertical="center" wrapText="1"/>
    </xf>
    <xf borderId="0" fillId="3" fontId="3" numFmtId="0" xfId="0" applyAlignment="1" applyFont="1">
      <alignment horizontal="left" readingOrder="0" shrinkToFit="0" vertical="center" wrapText="0"/>
    </xf>
    <xf borderId="0" fillId="3" fontId="3" numFmtId="0" xfId="0" applyAlignment="1" applyFont="1">
      <alignment horizontal="center" readingOrder="0" vertical="center"/>
    </xf>
    <xf borderId="0" fillId="3" fontId="4" numFmtId="0" xfId="0" applyAlignment="1" applyFont="1">
      <alignment horizontal="center" readingOrder="0" vertical="center"/>
    </xf>
    <xf borderId="0" fillId="3" fontId="5" numFmtId="0" xfId="0" applyAlignment="1" applyFont="1">
      <alignment horizontal="left" readingOrder="0" shrinkToFit="0" vertical="center" wrapText="0"/>
    </xf>
    <xf borderId="0" fillId="3" fontId="1" numFmtId="0" xfId="0" applyAlignment="1" applyFont="1">
      <alignment horizontal="center" vertical="center"/>
    </xf>
    <xf borderId="0" fillId="3" fontId="6" numFmtId="0" xfId="0" applyAlignment="1" applyFont="1">
      <alignment readingOrder="0" shrinkToFit="0" vertical="center" wrapText="0"/>
    </xf>
    <xf borderId="0" fillId="3" fontId="3" numFmtId="0" xfId="0" applyAlignment="1" applyFont="1">
      <alignment readingOrder="0" shrinkToFit="0" vertical="center" wrapText="0"/>
    </xf>
    <xf borderId="0" fillId="3" fontId="3" numFmtId="0" xfId="0" applyAlignment="1" applyFont="1">
      <alignment readingOrder="0" vertical="center"/>
    </xf>
    <xf borderId="0" fillId="4" fontId="4" numFmtId="0" xfId="0" applyAlignment="1" applyFill="1" applyFont="1">
      <alignment horizontal="center" vertical="center"/>
    </xf>
    <xf borderId="0" fillId="4" fontId="4" numFmtId="0" xfId="0" applyAlignment="1" applyFont="1">
      <alignment readingOrder="0" vertical="center"/>
    </xf>
    <xf borderId="0" fillId="4" fontId="3" numFmtId="0" xfId="0" applyAlignment="1" applyFont="1">
      <alignment horizontal="left" readingOrder="0" vertical="center"/>
    </xf>
    <xf borderId="0" fillId="4" fontId="3" numFmtId="0" xfId="0" applyAlignment="1" applyFont="1">
      <alignment horizontal="left" readingOrder="0" shrinkToFit="0" vertical="center" wrapText="1"/>
    </xf>
    <xf borderId="0" fillId="4" fontId="3" numFmtId="0" xfId="0" applyAlignment="1" applyFont="1">
      <alignment horizontal="left" readingOrder="0" shrinkToFit="0" vertical="center" wrapText="0"/>
    </xf>
    <xf borderId="0" fillId="4" fontId="3" numFmtId="0" xfId="0" applyAlignment="1" applyFont="1">
      <alignment horizontal="center" readingOrder="0" vertical="center"/>
    </xf>
    <xf borderId="0" fillId="4" fontId="7" numFmtId="0" xfId="0" applyAlignment="1" applyFont="1">
      <alignment horizontal="left" readingOrder="0" shrinkToFit="0" vertical="center" wrapText="0"/>
    </xf>
    <xf borderId="0" fillId="4" fontId="1" numFmtId="0" xfId="0" applyAlignment="1" applyFont="1">
      <alignment horizontal="center" vertical="center"/>
    </xf>
    <xf borderId="0" fillId="4" fontId="6" numFmtId="0" xfId="0" applyAlignment="1" applyFont="1">
      <alignment readingOrder="0" shrinkToFit="0" vertical="center" wrapText="0"/>
    </xf>
    <xf borderId="0" fillId="4" fontId="3" numFmtId="0" xfId="0" applyAlignment="1" applyFont="1">
      <alignment readingOrder="0" vertical="center"/>
    </xf>
    <xf borderId="0" fillId="4" fontId="3" numFmtId="0" xfId="0" applyAlignment="1" applyFont="1">
      <alignment vertical="center"/>
    </xf>
    <xf borderId="0" fillId="4" fontId="8"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4" fontId="9" numFmtId="0" xfId="0" applyAlignment="1" applyFont="1">
      <alignment readingOrder="0" shrinkToFit="0" vertical="center" wrapText="0"/>
    </xf>
    <xf borderId="0" fillId="3" fontId="10" numFmtId="0" xfId="0" applyAlignment="1" applyFont="1">
      <alignment readingOrder="0" shrinkToFit="0" vertical="center" wrapText="0"/>
    </xf>
    <xf borderId="0" fillId="4" fontId="11" numFmtId="0" xfId="0" applyAlignment="1" applyFont="1">
      <alignment readingOrder="0" shrinkToFit="0" vertical="center" wrapText="0"/>
    </xf>
    <xf borderId="0" fillId="3" fontId="3" numFmtId="0" xfId="0" applyFont="1"/>
    <xf borderId="0" fillId="3" fontId="4" numFmtId="0" xfId="0" applyAlignment="1" applyFont="1">
      <alignment vertical="center"/>
    </xf>
    <xf borderId="0" fillId="3" fontId="3" numFmtId="0" xfId="0" applyAlignment="1" applyFont="1">
      <alignment shrinkToFit="0" wrapText="1"/>
    </xf>
    <xf borderId="0" fillId="3" fontId="3" numFmtId="0" xfId="0" applyAlignment="1" applyFont="1">
      <alignment horizontal="center"/>
    </xf>
    <xf borderId="0" fillId="4" fontId="4" numFmtId="0" xfId="0" applyAlignment="1" applyFont="1">
      <alignment vertical="center"/>
    </xf>
    <xf borderId="0" fillId="4" fontId="3" numFmtId="0" xfId="0" applyAlignment="1" applyFont="1">
      <alignment shrinkToFit="0" vertical="center" wrapText="1"/>
    </xf>
    <xf borderId="0" fillId="4" fontId="3" numFmtId="0" xfId="0" applyAlignment="1" applyFont="1">
      <alignment shrinkToFit="0" vertical="center" wrapText="0"/>
    </xf>
    <xf borderId="0" fillId="4" fontId="4" numFmtId="0" xfId="0" applyAlignment="1" applyFont="1">
      <alignment horizontal="center" readingOrder="0" vertical="center"/>
    </xf>
    <xf borderId="0" fillId="4" fontId="4" numFmtId="0" xfId="0" applyAlignment="1" applyFont="1">
      <alignment readingOrder="0" shrinkToFit="0" vertical="center" wrapText="0"/>
    </xf>
    <xf borderId="0" fillId="3" fontId="3" numFmtId="0" xfId="0" applyAlignment="1" applyFont="1">
      <alignment shrinkToFit="0" vertical="center" wrapText="1"/>
    </xf>
    <xf borderId="0" fillId="3" fontId="3" numFmtId="0" xfId="0" applyAlignment="1" applyFont="1">
      <alignment shrinkToFit="0" vertical="center" wrapText="0"/>
    </xf>
    <xf borderId="0" fillId="3" fontId="12" numFmtId="0" xfId="0" applyAlignment="1" applyFont="1">
      <alignment shrinkToFit="0" vertical="center" wrapText="0"/>
    </xf>
    <xf borderId="0" fillId="4" fontId="13" numFmtId="0" xfId="0" applyAlignment="1" applyFont="1">
      <alignment vertical="center"/>
    </xf>
    <xf borderId="0" fillId="4" fontId="14" numFmtId="0" xfId="0" applyAlignment="1" applyFont="1">
      <alignment shrinkToFit="0" vertical="center" wrapText="0"/>
    </xf>
    <xf borderId="0" fillId="4" fontId="15" numFmtId="0" xfId="0" applyAlignment="1" applyFont="1">
      <alignment readingOrder="0" shrinkToFit="0" vertical="center" wrapText="0"/>
    </xf>
    <xf borderId="0" fillId="4" fontId="3" numFmtId="0" xfId="0" applyAlignment="1" applyFont="1">
      <alignment horizontal="center" vertical="center"/>
    </xf>
    <xf borderId="0" fillId="3" fontId="4" numFmtId="0" xfId="0" applyAlignment="1" applyFont="1">
      <alignment shrinkToFit="0" vertical="center" wrapText="0"/>
    </xf>
    <xf borderId="0" fillId="3" fontId="3" numFmtId="0" xfId="0" applyAlignment="1" applyFont="1">
      <alignment vertical="center"/>
    </xf>
    <xf borderId="0" fillId="3" fontId="4" numFmtId="0" xfId="0" applyAlignment="1" applyFont="1">
      <alignment readingOrder="0" vertical="center"/>
    </xf>
    <xf borderId="0" fillId="3" fontId="16" numFmtId="0" xfId="0" applyAlignment="1" applyFont="1">
      <alignment readingOrder="0" vertical="center"/>
    </xf>
    <xf borderId="0" fillId="3" fontId="17" numFmtId="0" xfId="0" applyAlignment="1" applyFont="1">
      <alignment vertical="center"/>
    </xf>
    <xf borderId="0" fillId="3" fontId="3" numFmtId="0" xfId="0" applyAlignment="1" applyFont="1">
      <alignment horizontal="center" vertical="center"/>
    </xf>
    <xf borderId="0" fillId="3" fontId="3" numFmtId="0" xfId="0" applyAlignment="1" applyFont="1">
      <alignment readingOrder="0" vertical="center"/>
    </xf>
    <xf borderId="0" fillId="4" fontId="3" numFmtId="0" xfId="0" applyAlignment="1" applyFont="1">
      <alignment readingOrder="0" vertical="center"/>
    </xf>
    <xf borderId="0" fillId="5" fontId="18" numFmtId="0" xfId="0" applyAlignment="1" applyFill="1" applyFont="1">
      <alignment readingOrder="0" vertical="center"/>
    </xf>
    <xf borderId="0" fillId="5" fontId="18" numFmtId="0" xfId="0" applyAlignment="1" applyFont="1">
      <alignment vertical="center"/>
    </xf>
    <xf borderId="0" fillId="0" fontId="6" numFmtId="0" xfId="0" applyAlignment="1" applyFont="1">
      <alignment shrinkToFit="0" vertical="center" wrapText="1"/>
    </xf>
    <xf borderId="0" fillId="0" fontId="6" numFmtId="0" xfId="0" applyAlignment="1" applyFont="1">
      <alignment horizontal="center" vertical="center"/>
    </xf>
    <xf borderId="0" fillId="0" fontId="6" numFmtId="0" xfId="0" applyAlignment="1" applyFont="1">
      <alignment vertical="center"/>
    </xf>
    <xf borderId="0" fillId="0" fontId="6" numFmtId="0" xfId="0" applyAlignment="1" applyFont="1">
      <alignment horizontal="left" shrinkToFit="0" vertical="center" wrapText="0"/>
    </xf>
    <xf borderId="0" fillId="0" fontId="19" numFmtId="0" xfId="0" applyAlignment="1" applyFont="1">
      <alignment shrinkToFit="0" vertical="center" wrapText="0"/>
    </xf>
    <xf borderId="0" fillId="0" fontId="6" numFmtId="0" xfId="0" applyAlignment="1" applyFont="1">
      <alignment vertical="bottom"/>
    </xf>
    <xf borderId="0" fillId="0" fontId="6" numFmtId="0" xfId="0" applyAlignment="1" applyFont="1">
      <alignment readingOrder="0" vertical="center"/>
    </xf>
    <xf borderId="0" fillId="0" fontId="3" numFmtId="0" xfId="0" applyAlignment="1" applyFont="1">
      <alignment horizontal="left" readingOrder="0"/>
    </xf>
    <xf borderId="0" fillId="0" fontId="3" numFmtId="0" xfId="0" applyAlignment="1" applyFont="1">
      <alignment horizontal="right" readingOrder="0"/>
    </xf>
    <xf borderId="0" fillId="0" fontId="3" numFmtId="0" xfId="0" applyAlignment="1" applyFont="1">
      <alignment horizontal="left"/>
    </xf>
    <xf borderId="0" fillId="0" fontId="20" numFmtId="0" xfId="0" applyAlignment="1" applyFont="1">
      <alignment horizontal="left" readingOrder="0"/>
    </xf>
    <xf borderId="0" fillId="6" fontId="21" numFmtId="0" xfId="0" applyAlignment="1" applyFill="1" applyFont="1">
      <alignment horizontal="center" shrinkToFit="0" vertical="center" wrapText="0"/>
    </xf>
    <xf borderId="0" fillId="0" fontId="6" numFmtId="0" xfId="0" applyAlignment="1" applyFont="1">
      <alignment shrinkToFit="0" vertical="bottom" wrapText="0"/>
    </xf>
    <xf borderId="0" fillId="6" fontId="22" numFmtId="0" xfId="0" applyAlignment="1" applyFont="1">
      <alignment shrinkToFit="0" vertical="center" wrapText="0"/>
    </xf>
    <xf borderId="0" fillId="6" fontId="6" numFmtId="0" xfId="0" applyAlignment="1" applyFont="1">
      <alignment horizontal="center" readingOrder="0" shrinkToFit="0" vertical="center" wrapText="0"/>
    </xf>
    <xf borderId="0" fillId="6" fontId="6" numFmtId="0" xfId="0" applyAlignment="1" applyFont="1">
      <alignment shrinkToFit="0" vertical="center" wrapText="1"/>
    </xf>
    <xf borderId="0" fillId="6" fontId="6" numFmtId="0" xfId="0" applyAlignment="1" applyFont="1">
      <alignment horizontal="center" vertical="center"/>
    </xf>
    <xf borderId="0" fillId="6" fontId="6" numFmtId="0" xfId="0" applyAlignment="1" applyFont="1">
      <alignment shrinkToFit="0" vertical="center" wrapText="0"/>
    </xf>
    <xf borderId="0" fillId="6" fontId="6" numFmtId="0" xfId="0" applyAlignment="1" applyFont="1">
      <alignment horizontal="center" shrinkToFit="0" vertical="center" wrapText="0"/>
    </xf>
    <xf borderId="0" fillId="6" fontId="6" numFmtId="0" xfId="0" applyAlignment="1" applyFont="1">
      <alignment horizontal="left" shrinkToFit="0" vertical="center" wrapText="0"/>
    </xf>
    <xf borderId="0" fillId="6" fontId="6" numFmtId="0" xfId="0" applyAlignment="1" applyFont="1">
      <alignment vertical="center"/>
    </xf>
    <xf borderId="0" fillId="6" fontId="6" numFmtId="0" xfId="0" applyAlignment="1" applyFont="1">
      <alignment shrinkToFit="0" vertical="center" wrapText="0"/>
    </xf>
    <xf borderId="0" fillId="6" fontId="6" numFmtId="0" xfId="0" applyAlignment="1" applyFont="1">
      <alignment shrinkToFit="0" vertical="bottom" wrapText="1"/>
    </xf>
    <xf borderId="0" fillId="6" fontId="6" numFmtId="164" xfId="0" applyAlignment="1" applyFont="1" applyNumberFormat="1">
      <alignment horizontal="center" shrinkToFit="0" vertical="center" wrapText="0"/>
    </xf>
    <xf borderId="0" fillId="6" fontId="23" numFmtId="0" xfId="0" applyAlignment="1" applyFont="1">
      <alignment vertical="center"/>
    </xf>
    <xf borderId="0" fillId="6" fontId="24" numFmtId="0" xfId="0" applyAlignment="1" applyFont="1">
      <alignment horizontal="center" shrinkToFit="0" vertical="center" wrapText="0"/>
    </xf>
    <xf borderId="0" fillId="0" fontId="6" numFmtId="0" xfId="0" applyAlignment="1" applyFont="1">
      <alignment shrinkToFit="0" vertical="bottom" wrapText="1"/>
    </xf>
    <xf borderId="0" fillId="0" fontId="6" numFmtId="0" xfId="0" applyAlignment="1" applyFont="1">
      <alignment horizontal="center" shrinkToFit="0" vertical="center" wrapText="0"/>
    </xf>
    <xf borderId="0" fillId="0" fontId="6" numFmtId="164" xfId="0" applyAlignment="1" applyFont="1" applyNumberFormat="1">
      <alignment horizontal="center" shrinkToFit="0" vertical="center" wrapText="0"/>
    </xf>
    <xf borderId="0" fillId="0" fontId="3" numFmtId="0" xfId="0" applyAlignment="1" applyFont="1">
      <alignment shrinkToFit="0" vertical="center" wrapText="1"/>
    </xf>
    <xf borderId="0" fillId="0" fontId="6" numFmtId="0" xfId="0" applyAlignment="1" applyFont="1">
      <alignment shrinkToFit="0" vertical="center" wrapText="0"/>
    </xf>
    <xf borderId="0" fillId="5" fontId="18" numFmtId="0" xfId="0" applyAlignment="1" applyFont="1">
      <alignment horizontal="center" readingOrder="0" vertical="center"/>
    </xf>
    <xf borderId="0" fillId="0" fontId="6" numFmtId="0" xfId="0" applyAlignment="1" applyFont="1">
      <alignment horizontal="center" vertical="bottom"/>
    </xf>
    <xf borderId="0" fillId="0" fontId="6" numFmtId="0" xfId="0" applyAlignment="1" applyFont="1">
      <alignment shrinkToFit="0" vertical="bottom" wrapText="0"/>
    </xf>
    <xf borderId="0" fillId="0" fontId="6" numFmtId="0" xfId="0" applyAlignment="1" applyFont="1">
      <alignment horizontal="center" readingOrder="0" shrinkToFit="0" vertical="bottom" wrapText="0"/>
    </xf>
    <xf borderId="0" fillId="0" fontId="25" numFmtId="0" xfId="0" applyAlignment="1" applyFont="1">
      <alignment shrinkToFit="0" vertical="bottom" wrapText="0"/>
    </xf>
    <xf borderId="0" fillId="0" fontId="3" numFmtId="0" xfId="0" applyAlignment="1" applyFont="1">
      <alignment horizontal="left" readingOrder="0" shrinkToFit="0" wrapText="0"/>
    </xf>
    <xf borderId="0" fillId="0" fontId="6" numFmtId="0" xfId="0" applyAlignment="1" applyFont="1">
      <alignment horizontal="center" shrinkToFit="0" vertical="bottom" wrapText="0"/>
    </xf>
    <xf borderId="0" fillId="0" fontId="26" numFmtId="0" xfId="0" applyAlignment="1" applyFont="1">
      <alignment shrinkToFit="0" vertical="bottom" wrapText="0"/>
    </xf>
    <xf borderId="0" fillId="0" fontId="27" numFmtId="0" xfId="0" applyAlignment="1" applyFont="1">
      <alignment horizontal="left" readingOrder="0" shrinkToFit="0" wrapText="0"/>
    </xf>
    <xf borderId="0" fillId="0" fontId="3" numFmtId="0" xfId="0" applyAlignment="1" applyFont="1">
      <alignment shrinkToFit="0" wrapText="0"/>
    </xf>
    <xf borderId="0" fillId="0" fontId="6" numFmtId="0" xfId="0" applyAlignment="1" applyFont="1">
      <alignment horizontal="right" vertical="bottom"/>
    </xf>
    <xf borderId="0" fillId="0" fontId="6" numFmtId="0" xfId="0" applyAlignment="1" applyFont="1">
      <alignment readingOrder="0" shrinkToFit="0" vertical="bottom" wrapText="0"/>
    </xf>
    <xf borderId="0" fillId="0" fontId="6" numFmtId="164" xfId="0" applyAlignment="1" applyFont="1" applyNumberFormat="1">
      <alignment horizontal="center" shrinkToFit="0" vertical="bottom" wrapText="0"/>
    </xf>
    <xf borderId="0" fillId="0" fontId="28" numFmtId="0" xfId="0" applyAlignment="1" applyFont="1">
      <alignment vertical="bottom"/>
    </xf>
    <xf borderId="0" fillId="0" fontId="29" numFmtId="0" xfId="0" applyAlignment="1" applyFont="1">
      <alignment shrinkToFit="0" vertical="bottom" wrapText="0"/>
    </xf>
    <xf borderId="0" fillId="0" fontId="3" numFmtId="0" xfId="0" applyAlignment="1" applyFont="1">
      <alignment horizontal="center" vertical="center"/>
    </xf>
    <xf borderId="0" fillId="0" fontId="3" numFmtId="0" xfId="0" applyAlignment="1" applyFont="1">
      <alignment shrinkToFit="0" wrapText="1"/>
    </xf>
    <xf borderId="0" fillId="0" fontId="3" numFmtId="0" xfId="0" applyAlignment="1" applyFont="1">
      <alignment horizontal="center" shrinkToFit="0" wrapText="0"/>
    </xf>
    <xf borderId="0" fillId="0" fontId="3" numFmtId="0" xfId="0" applyAlignment="1" applyFont="1">
      <alignment horizontal="center"/>
    </xf>
    <xf borderId="0" fillId="5" fontId="18" numFmtId="0" xfId="0" applyAlignment="1" applyFont="1">
      <alignment readingOrder="0" shrinkToFit="0" vertical="center" wrapText="0"/>
    </xf>
    <xf borderId="0" fillId="5" fontId="18" numFmtId="0" xfId="0" applyAlignment="1" applyFont="1">
      <alignment shrinkToFit="0" vertical="center" wrapText="0"/>
    </xf>
    <xf borderId="0" fillId="0" fontId="30" numFmtId="0" xfId="0" applyAlignment="1" applyFont="1">
      <alignment shrinkToFit="0" vertical="center" wrapText="0"/>
    </xf>
    <xf borderId="0" fillId="0" fontId="30" numFmtId="0" xfId="0" applyAlignment="1" applyFont="1">
      <alignment horizontal="center" shrinkToFit="0" vertical="center" wrapText="0"/>
    </xf>
    <xf borderId="0" fillId="0" fontId="30" numFmtId="0" xfId="0" applyAlignment="1" applyFont="1">
      <alignment shrinkToFit="0" vertical="bottom" wrapText="0"/>
    </xf>
    <xf borderId="0" fillId="0" fontId="30" numFmtId="0" xfId="0" applyAlignment="1" applyFont="1">
      <alignment horizontal="center" readingOrder="0" shrinkToFit="0" vertical="bottom" wrapText="0"/>
    </xf>
    <xf borderId="0" fillId="0" fontId="30" numFmtId="0" xfId="0" applyAlignment="1" applyFont="1">
      <alignment horizontal="center" shrinkToFit="0" vertical="bottom" wrapText="0"/>
    </xf>
    <xf borderId="0" fillId="0" fontId="30" numFmtId="0" xfId="0" applyAlignment="1" applyFont="1">
      <alignment horizontal="center" readingOrder="0" shrinkToFit="0" vertical="center" wrapText="0"/>
    </xf>
    <xf borderId="0" fillId="0" fontId="31" numFmtId="0" xfId="0" applyAlignment="1" applyFont="1">
      <alignment readingOrder="0" shrinkToFit="0" vertical="center" wrapText="0"/>
    </xf>
    <xf borderId="0" fillId="0" fontId="6" numFmtId="0" xfId="0" applyAlignment="1" applyFont="1">
      <alignment readingOrder="0" shrinkToFit="0" vertical="center" wrapText="0"/>
    </xf>
    <xf borderId="0" fillId="0" fontId="30" numFmtId="0" xfId="0" applyAlignment="1" applyFont="1">
      <alignment readingOrder="0" shrinkToFit="0" vertical="center" wrapText="0"/>
    </xf>
    <xf borderId="0" fillId="0" fontId="30" numFmtId="0" xfId="0" applyAlignment="1" applyFont="1">
      <alignment readingOrder="0" shrinkToFit="0" vertical="bottom" wrapText="0"/>
    </xf>
    <xf borderId="0" fillId="0" fontId="32" numFmtId="0" xfId="0" applyAlignment="1" applyFont="1">
      <alignment readingOrder="0" shrinkToFit="0" vertical="center" wrapText="0"/>
    </xf>
    <xf borderId="0" fillId="0" fontId="30" numFmtId="0" xfId="0" applyAlignment="1" applyFont="1">
      <alignment shrinkToFit="0" wrapText="0"/>
    </xf>
    <xf borderId="0" fillId="0" fontId="33" numFmtId="0" xfId="0" applyAlignment="1" applyFont="1">
      <alignment readingOrder="0" shrinkToFit="0" vertical="center" wrapText="0"/>
    </xf>
    <xf borderId="0" fillId="0" fontId="33" numFmtId="0" xfId="0" applyAlignment="1" applyFont="1">
      <alignment horizontal="center" readingOrder="0" shrinkToFit="0" vertical="center" wrapText="0"/>
    </xf>
    <xf borderId="0" fillId="0" fontId="33" numFmtId="0" xfId="0" applyAlignment="1" applyFont="1">
      <alignment readingOrder="0" shrinkToFit="0" vertical="bottom" wrapText="0"/>
    </xf>
    <xf borderId="0" fillId="0" fontId="34" numFmtId="0" xfId="0" applyAlignment="1" applyFont="1">
      <alignment shrinkToFit="0" vertical="center" wrapText="0"/>
    </xf>
    <xf borderId="0" fillId="7" fontId="6" numFmtId="0" xfId="0" applyAlignment="1" applyFill="1" applyFont="1">
      <alignment readingOrder="0" shrinkToFit="0" vertical="center" wrapText="0"/>
    </xf>
    <xf borderId="0" fillId="7" fontId="30" numFmtId="0" xfId="0" applyAlignment="1" applyFont="1">
      <alignment readingOrder="0" shrinkToFit="0" vertical="center" wrapText="0"/>
    </xf>
    <xf borderId="0" fillId="7" fontId="30" numFmtId="0" xfId="0" applyAlignment="1" applyFont="1">
      <alignment horizontal="center" readingOrder="0" shrinkToFit="0" vertical="center" wrapText="0"/>
    </xf>
    <xf borderId="0" fillId="7" fontId="30" numFmtId="0" xfId="0" applyAlignment="1" applyFont="1">
      <alignment readingOrder="0" shrinkToFit="0" vertical="bottom" wrapText="0"/>
    </xf>
    <xf borderId="0" fillId="7" fontId="30" numFmtId="0" xfId="0" applyAlignment="1" applyFont="1">
      <alignment shrinkToFit="0" vertical="center" wrapText="0"/>
    </xf>
    <xf borderId="0" fillId="7" fontId="30" numFmtId="0" xfId="0" applyAlignment="1" applyFont="1">
      <alignment shrinkToFit="0" vertical="bottom" wrapText="0"/>
    </xf>
    <xf borderId="0" fillId="7" fontId="30" numFmtId="0" xfId="0" applyAlignment="1" applyFont="1">
      <alignment horizontal="center" shrinkToFit="0" vertical="center" wrapText="0"/>
    </xf>
    <xf borderId="0" fillId="7" fontId="35" numFmtId="0" xfId="0" applyAlignment="1" applyFont="1">
      <alignment readingOrder="0" shrinkToFit="0" vertical="center" wrapText="0"/>
    </xf>
    <xf borderId="0" fillId="7" fontId="30" numFmtId="0" xfId="0" applyAlignment="1" applyFont="1">
      <alignment shrinkToFit="0" wrapText="0"/>
    </xf>
    <xf borderId="0" fillId="0" fontId="6" numFmtId="0" xfId="0" applyAlignment="1" applyFont="1">
      <alignment horizontal="right" shrinkToFit="0" vertical="bottom" wrapText="0"/>
    </xf>
    <xf borderId="0" fillId="0" fontId="30" numFmtId="0" xfId="0" applyAlignment="1" applyFont="1">
      <alignment horizontal="left" readingOrder="0" shrinkToFit="0" vertical="center" wrapText="0"/>
    </xf>
    <xf borderId="0" fillId="0" fontId="30" numFmtId="0" xfId="0" applyAlignment="1" applyFont="1">
      <alignment horizontal="left" shrinkToFit="0" vertical="center" wrapText="0"/>
    </xf>
    <xf borderId="0" fillId="0" fontId="36" numFmtId="0" xfId="0" applyAlignment="1" applyFont="1">
      <alignment readingOrder="0" shrinkToFit="0" vertical="center" wrapText="0"/>
    </xf>
    <xf borderId="0" fillId="0" fontId="3" numFmtId="0" xfId="0" applyAlignment="1" applyFont="1">
      <alignment readingOrder="0" shrinkToFit="0" wrapText="0"/>
    </xf>
    <xf borderId="0" fillId="0" fontId="30" numFmtId="0" xfId="0" applyAlignment="1" applyFont="1">
      <alignment shrinkToFit="0" vertical="center" wrapText="0"/>
    </xf>
    <xf borderId="0" fillId="0" fontId="30" numFmtId="0" xfId="0" applyAlignment="1" applyFont="1">
      <alignment horizontal="center" shrinkToFit="0" vertical="center" wrapText="0"/>
    </xf>
    <xf borderId="0" fillId="0" fontId="30" numFmtId="0" xfId="0" applyAlignment="1" applyFont="1">
      <alignment horizontal="left" shrinkToFit="0" vertical="center" wrapText="0"/>
    </xf>
    <xf borderId="0" fillId="0" fontId="37" numFmtId="0" xfId="0" applyAlignment="1" applyFont="1">
      <alignment horizontal="center" shrinkToFit="0" vertical="center" wrapText="0"/>
    </xf>
    <xf borderId="0" fillId="0" fontId="38" numFmtId="0" xfId="0" applyAlignment="1" applyFont="1">
      <alignment horizontal="center" shrinkToFit="0" vertical="center" wrapText="0"/>
    </xf>
    <xf borderId="0" fillId="0" fontId="3" numFmtId="0" xfId="0" applyAlignment="1" applyFont="1">
      <alignment shrinkToFit="0" vertical="center" wrapText="0"/>
    </xf>
    <xf borderId="0" fillId="8" fontId="39" numFmtId="0" xfId="0" applyAlignment="1" applyFill="1" applyFont="1">
      <alignment horizontal="center" shrinkToFit="0" vertical="center" wrapText="1"/>
    </xf>
    <xf borderId="0" fillId="2" fontId="40" numFmtId="0" xfId="0" applyAlignment="1" applyFont="1">
      <alignment horizontal="center" readingOrder="0" shrinkToFit="0" vertical="center" wrapText="1"/>
    </xf>
    <xf borderId="0" fillId="9" fontId="1" numFmtId="0" xfId="0" applyAlignment="1" applyFill="1" applyFont="1">
      <alignment horizontal="center" readingOrder="0" vertical="center"/>
    </xf>
    <xf borderId="0" fillId="9" fontId="1" numFmtId="0" xfId="0" applyAlignment="1" applyFont="1">
      <alignment horizontal="center" shrinkToFit="0" vertical="center" wrapText="0"/>
    </xf>
    <xf borderId="0" fillId="9" fontId="1" numFmtId="0" xfId="0" applyAlignment="1" applyFont="1">
      <alignment horizontal="center" shrinkToFit="0" vertical="center" wrapText="1"/>
    </xf>
    <xf borderId="0" fillId="0" fontId="4" numFmtId="0" xfId="0" applyAlignment="1" applyFont="1">
      <alignment horizontal="center" readingOrder="0" vertical="center"/>
    </xf>
    <xf borderId="0" fillId="3" fontId="6" numFmtId="0" xfId="0" applyAlignment="1" applyFont="1">
      <alignment horizontal="center" vertical="center"/>
    </xf>
    <xf borderId="0" fillId="0" fontId="6" numFmtId="0" xfId="0" applyAlignment="1" applyFont="1">
      <alignment horizontal="center" readingOrder="0" vertical="center"/>
    </xf>
    <xf borderId="0" fillId="3" fontId="6" numFmtId="0" xfId="0" applyAlignment="1" applyFont="1">
      <alignment horizontal="center" shrinkToFit="0" vertical="center" wrapText="0"/>
    </xf>
    <xf borderId="0" fillId="0" fontId="41" numFmtId="0" xfId="0" applyAlignment="1" applyFont="1">
      <alignment readingOrder="0" shrinkToFit="0" vertical="center" wrapText="0"/>
    </xf>
    <xf borderId="0" fillId="0" fontId="30" numFmtId="0" xfId="0" applyAlignment="1" applyFont="1">
      <alignment shrinkToFit="0" vertical="center" wrapText="1"/>
    </xf>
    <xf borderId="0" fillId="0" fontId="42" numFmtId="0" xfId="0" applyAlignment="1" applyFont="1">
      <alignment shrinkToFit="0" vertical="center" wrapText="0"/>
    </xf>
    <xf borderId="0" fillId="0" fontId="6" numFmtId="0" xfId="0" applyAlignment="1" applyFont="1">
      <alignment readingOrder="0" shrinkToFit="0" vertical="center" wrapText="0"/>
    </xf>
    <xf borderId="0" fillId="0" fontId="8" numFmtId="0" xfId="0" applyAlignment="1" applyFont="1">
      <alignment readingOrder="0" shrinkToFit="0" vertical="center" wrapText="0"/>
    </xf>
    <xf borderId="0" fillId="0" fontId="43" numFmtId="0" xfId="0" applyAlignment="1" applyFont="1">
      <alignment shrinkToFit="0" vertical="center" wrapText="0"/>
    </xf>
    <xf borderId="0" fillId="0" fontId="43" numFmtId="0" xfId="0" applyAlignment="1" applyFont="1">
      <alignment horizontal="left" shrinkToFit="0" vertical="center" wrapText="0"/>
    </xf>
    <xf borderId="0" fillId="0" fontId="43" numFmtId="0" xfId="0" applyAlignment="1" applyFont="1">
      <alignment horizontal="center" shrinkToFit="0" vertical="center" wrapText="0"/>
    </xf>
    <xf borderId="0" fillId="0" fontId="43" numFmtId="0" xfId="0" applyAlignment="1" applyFont="1">
      <alignment readingOrder="0" shrinkToFit="0" vertical="center" wrapText="0"/>
    </xf>
    <xf borderId="0" fillId="0" fontId="3" numFmtId="0" xfId="0" applyAlignment="1" applyFont="1">
      <alignment readingOrder="0" vertical="center"/>
    </xf>
  </cellXfs>
  <cellStyles count="1">
    <cellStyle xfId="0" name="Normal" builtinId="0"/>
  </cellStyles>
  <dxfs count="4">
    <dxf>
      <font/>
      <fill>
        <patternFill patternType="none"/>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lo Farias Soares da Silva" id="{27473a53-bf37-49be-ac4e-54fad332bc79}" providerId="google-sheets"/>
  <x18tc:person displayName="Malu Xavier da Silva" id="{6aad9174-3e2e-4fe1-b28c-78ef7c497d46}" providerId="google-sheets"/>
  <x18tc:person displayName="Felipe Araujo de Lima" id="{522d051e-b058-438b-a851-bb12bfeb368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4-06T22:28:14.00" personId="{6aad9174-3e2e-4fe1-b28c-78ef7c497d46}" id="{98f15aec-3e01-48f0-9aeb-18b002d5d590}" done="1">
    <x18tc:text xml:space="preserve">em andamento</x18tc:text>
  </x18tc:threadedComment>
  <x18tc:threadedComment ref="D3" dT="2026-04-06T22:28:22.00" personId="{6aad9174-3e2e-4fe1-b28c-78ef7c497d46}" id="{b397bcea-96e0-46d2-801c-1f5b462a5b78}" done="1">
    <x18tc:text xml:space="preserve">em andamento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7" dT="2026-03-30T19:49:58.00" personId="{27473a53-bf37-49be-ac4e-54fad332bc79}" id="{35cbff40-7249-40ce-9650-e5588bd8a282}" done="0">
    <x18tc:text xml:space="preserve">Esse é bom viu.... Saiu por ser um livro de 165 páginas.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6-03-30T17:55:12.00" personId="{27473a53-bf37-49be-ac4e-54fad332bc79}" id="{ba638e1a-7b4d-4ea1-bad5-daaf5192eda8}" done="0">
    <x18tc:text xml:space="preserve">Estava com duas definições de Dúvida, e avaliei como Conforme.</x18tc:text>
  </x18tc:threadedComment>
  <x18tc:threadedComment ref="F2" dT="2026-03-28T14:42:53.00" personId="{522d051e-b058-438b-a851-bb12bfeb368b}" id="{ec344192-2210-4189-991f-cf3ec93d3290}" done="0">
    <x18tc:text xml:space="preserve">Pode ser usado como ponto de partida, já que indica pontenciais artigos que atendam.</x18tc:text>
  </x18tc:threadedComment>
  <x18tc:threadedComment ref="D11" dT="2026-03-30T17:56:03.00" personId="{27473a53-bf37-49be-ac4e-54fad332bc79}" id="{57e7cc99-c973-43ad-ac2e-0185495cb9d9}" done="0">
    <x18tc:text xml:space="preserve">Estava com duas definições de Dúvida, e avaliei como Inconforme.</x18tc:text>
  </x18tc:threadedComment>
  <x18tc:threadedComment ref="D7" dT="2026-03-30T17:54:59.00" personId="{27473a53-bf37-49be-ac4e-54fad332bc79}" id="{f190d5e1-ff7a-4fe7-8aca-621514add394}" done="0">
    <x18tc:text xml:space="preserve">Estava com duas definições de Dúvida, e avaliei como Conforme.</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i.org/10.1145/3769994.3770038" TargetMode="External"/><Relationship Id="rId10" Type="http://schemas.openxmlformats.org/officeDocument/2006/relationships/hyperlink" Target="https://doi.org/10.1145/3769994.3770023"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copus.com/inward/record.uri?eid=2-s2.0-85095761044&amp;partnerID=40&amp;md5=11ff7d295be7d395c1f42698884ee4bf" TargetMode="External"/><Relationship Id="rId9" Type="http://schemas.openxmlformats.org/officeDocument/2006/relationships/hyperlink" Target="https://doi.org/10.1145/3700297.3700345" TargetMode="External"/><Relationship Id="rId5" Type="http://schemas.openxmlformats.org/officeDocument/2006/relationships/hyperlink" Target="https://www.scopus.com/inward/record.uri?eid=2-s2.0-85113599492&amp;doi=10.1016%2Fj.ijme.2021.100550&amp;partnerID=40&amp;md5=397c2d02e898c14cc513c57d713905df" TargetMode="External"/><Relationship Id="rId6" Type="http://schemas.openxmlformats.org/officeDocument/2006/relationships/hyperlink" Target="https://ieeexplore.ieee.org/stamp/stamp.jsp?arnumber=9962737" TargetMode="External"/><Relationship Id="rId7" Type="http://schemas.openxmlformats.org/officeDocument/2006/relationships/hyperlink" Target="https://ieeexplore.ieee.org/stamp/stamp.jsp?arnumber=9682432" TargetMode="External"/><Relationship Id="rId8" Type="http://schemas.openxmlformats.org/officeDocument/2006/relationships/hyperlink" Target="https://ieeexplore.ieee.org/stamp/stamp.jsp?arnumber=976651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copus.com/inward/record.uri?eid=2-s2.0-105000639248&amp;doi=10.1109%2FFIE61694.2024.10893159&amp;partnerID=40&amp;md5=8815b60ed1f48d78972343203ec81d28" TargetMode="External"/><Relationship Id="rId42" Type="http://schemas.openxmlformats.org/officeDocument/2006/relationships/hyperlink" Target="https://www.scopus.com/inward/record.uri?eid=2-s2.0-85183053669&amp;doi=10.1109%2FFIE58773.2023.10343417&amp;partnerID=40&amp;md5=8b78c8c29f6b690ac11e11961f3788ca" TargetMode="External"/><Relationship Id="rId41" Type="http://schemas.openxmlformats.org/officeDocument/2006/relationships/hyperlink" Target="https://www.scopus.com/inward/record.uri?eid=2-s2.0-105024367501&amp;doi=10.1201%2F9781003529743&amp;partnerID=40&amp;md5=55e5a81a700aad65ef6699a8e766f0c3" TargetMode="External"/><Relationship Id="rId44" Type="http://schemas.openxmlformats.org/officeDocument/2006/relationships/hyperlink" Target="https://www.scopus.com/inward/record.uri?eid=2-s2.0-85095766548&amp;partnerID=40&amp;md5=d5a16c5ab79999952f2c2de4db4cb67d" TargetMode="External"/><Relationship Id="rId43" Type="http://schemas.openxmlformats.org/officeDocument/2006/relationships/hyperlink" Target="https://www.scopus.com/inward/record.uri?eid=2-s2.0-85143082985&amp;doi=10.1088%2F1361-6471%2Fac8890&amp;partnerID=40&amp;md5=f62dbfae3d1c6b943fb9b17b0d1c3c10" TargetMode="External"/><Relationship Id="rId46" Type="http://schemas.openxmlformats.org/officeDocument/2006/relationships/hyperlink" Target="https://www.scopus.com/inward/record.uri?eid=2-s2.0-105027496029&amp;doi=10.4018%2F979-8-3373-5157-5.ch015&amp;partnerID=40&amp;md5=1eaa061df0dac1e388c0b54df984b9ce" TargetMode="External"/><Relationship Id="rId45" Type="http://schemas.openxmlformats.org/officeDocument/2006/relationships/hyperlink" Target="https://www.scopus.com/inward/record.uri?eid=2-s2.0-85172155830&amp;partnerID=40&amp;md5=1646ab1314477a345a50822c3773fac7"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copus.com/inward/record.uri?eid=2-s2.0-85051187215&amp;partnerID=40&amp;md5=b02a96bfe38a326ac5cad5fb97bd9b32" TargetMode="External"/><Relationship Id="rId9" Type="http://schemas.openxmlformats.org/officeDocument/2006/relationships/hyperlink" Target="https://www.scopus.com/inward/record.uri?eid=2-s2.0-85198901484&amp;doi=10.1145%2F3649217.3653578&amp;partnerID=40&amp;md5=3a54638a22eff0491ec08ad6d0cff4bb" TargetMode="External"/><Relationship Id="rId48" Type="http://schemas.openxmlformats.org/officeDocument/2006/relationships/hyperlink" Target="https://www.scopus.com/inward/record.uri?eid=2-s2.0-85176332777&amp;doi=10.4324%2F9781003458524&amp;partnerID=40&amp;md5=c86ffb979c051e977b28e96921ef9481" TargetMode="External"/><Relationship Id="rId47" Type="http://schemas.openxmlformats.org/officeDocument/2006/relationships/hyperlink" Target="https://www.scopus.com/inward/record.uri?eid=2-s2.0-105013882206&amp;doi=10.3390%2Fvirtualworlds2010005&amp;partnerID=40&amp;md5=66f33866ecd3b0f8cf1d4bc41a5834c4" TargetMode="External"/><Relationship Id="rId49" Type="http://schemas.openxmlformats.org/officeDocument/2006/relationships/hyperlink" Target="https://www.scopus.com/inward/record.uri?eid=2-s2.0-105009797646&amp;partnerID=40&amp;md5=055f9d3c005398cc23c0de9af202829f" TargetMode="External"/><Relationship Id="rId5" Type="http://schemas.openxmlformats.org/officeDocument/2006/relationships/hyperlink" Target="https://www.scopus.com/inward/record.uri?eid=2-s2.0-85141583700&amp;doi=10.3390%2Feducsci12110768&amp;partnerID=40&amp;md5=40eb190f17a467ca612a933e8211e213" TargetMode="External"/><Relationship Id="rId6" Type="http://schemas.openxmlformats.org/officeDocument/2006/relationships/hyperlink" Target="https://www.scopus.com/inward/record.uri?eid=2-s2.0-85136718318&amp;doi=10.1016%2FC2020-0-02068-2&amp;partnerID=40&amp;md5=d43da1b1b5a6d160c9ed229267df8563" TargetMode="External"/><Relationship Id="rId7" Type="http://schemas.openxmlformats.org/officeDocument/2006/relationships/hyperlink" Target="https://www.scopus.com/inward/record.uri?eid=2-s2.0-85131692666&amp;doi=10.1163%2F9789004463189&amp;partnerID=40&amp;md5=ebbf899d4b387d8131c1dcfc6807b43f" TargetMode="External"/><Relationship Id="rId8" Type="http://schemas.openxmlformats.org/officeDocument/2006/relationships/hyperlink" Target="https://www.scopus.com/inward/record.uri?eid=2-s2.0-85218772084&amp;doi=10.1109%2FTG.2025.3543135&amp;partnerID=40&amp;md5=f980de7509adeee4b848c6dd694fc9d0" TargetMode="External"/><Relationship Id="rId73" Type="http://schemas.openxmlformats.org/officeDocument/2006/relationships/drawing" Target="../drawings/drawing2.xml"/><Relationship Id="rId72" Type="http://schemas.openxmlformats.org/officeDocument/2006/relationships/hyperlink" Target="https://www.scopus.com/inward/record.uri?eid=2-s2.0-85196685113&amp;partnerID=40&amp;md5=4ab1363b04ab1a8cded2c5a97121688b" TargetMode="External"/><Relationship Id="rId31" Type="http://schemas.openxmlformats.org/officeDocument/2006/relationships/hyperlink" Target="https://www.scopus.com/inward/record.uri?eid=2-s2.0-85099810447&amp;doi=10.1016%2Fj.amsu.2021.01.057&amp;partnerID=40&amp;md5=ab18817aa7f472efc593a1db5bd39d7f" TargetMode="External"/><Relationship Id="rId30" Type="http://schemas.openxmlformats.org/officeDocument/2006/relationships/hyperlink" Target="https://www.scopus.com/inward/record.uri?eid=2-s2.0-85160115355&amp;doi=10.1201%2F9781003359128&amp;partnerID=40&amp;md5=200062bb4bf4e66be7a91e4bb7d7a201" TargetMode="External"/><Relationship Id="rId74" Type="http://schemas.openxmlformats.org/officeDocument/2006/relationships/vmlDrawing" Target="../drawings/vmlDrawing2.vml"/><Relationship Id="rId33" Type="http://schemas.openxmlformats.org/officeDocument/2006/relationships/hyperlink" Target="https://www.scopus.com/inward/record.uri?eid=2-s2.0-85085765696&amp;doi=10.1016%2Fj.amsu.2020.04.007&amp;partnerID=40&amp;md5=1043ee2d2dfa9ee9d468b1256488a03b" TargetMode="External"/><Relationship Id="rId32" Type="http://schemas.openxmlformats.org/officeDocument/2006/relationships/hyperlink" Target="https://www.scopus.com/inward/record.uri?eid=2-s2.0-85219518165&amp;doi=10.1145%2F3689187.3709610&amp;partnerID=40&amp;md5=86b50482029bebe85cf7909064c17379" TargetMode="External"/><Relationship Id="rId35" Type="http://schemas.openxmlformats.org/officeDocument/2006/relationships/hyperlink" Target="https://www.scopus.com/inward/record.uri?eid=2-s2.0-86000109704&amp;doi=10.4018%2F979-8-3693-2635-0&amp;partnerID=40&amp;md5=a9d0e934b495468ed2d7759d44d16665" TargetMode="External"/><Relationship Id="rId34" Type="http://schemas.openxmlformats.org/officeDocument/2006/relationships/hyperlink" Target="https://www.scopus.com/inward/record.uri?eid=2-s2.0-85081037559&amp;doi=10.1002%2Fjrsm.1399&amp;partnerID=40&amp;md5=c0733a35f89e3f12b954597ec0bd621a" TargetMode="External"/><Relationship Id="rId71" Type="http://schemas.openxmlformats.org/officeDocument/2006/relationships/hyperlink" Target="https://www.scopus.com/inward/record.uri?eid=2-s2.0-85215583790&amp;doi=10.17713%2FAJS.V53I5.1919&amp;partnerID=40&amp;md5=412fce42ff6b31403dbd0066b695fdfd" TargetMode="External"/><Relationship Id="rId70" Type="http://schemas.openxmlformats.org/officeDocument/2006/relationships/hyperlink" Target="https://www.scopus.com/inward/record.uri?eid=2-s2.0-85114151200&amp;doi=10.1017%2Fdmp.2021.164&amp;partnerID=40&amp;md5=774ab8aff5c0d09d26534aab638ed312" TargetMode="External"/><Relationship Id="rId37" Type="http://schemas.openxmlformats.org/officeDocument/2006/relationships/hyperlink" Target="https://www.scopus.com/inward/record.uri?eid=2-s2.0-105004745022&amp;doi=10.1080%2F03043797.2025.2502473&amp;partnerID=40&amp;md5=0194b324ed9a140b7fb0272d152591e7" TargetMode="External"/><Relationship Id="rId36" Type="http://schemas.openxmlformats.org/officeDocument/2006/relationships/hyperlink" Target="https://www.scopus.com/inward/record.uri?eid=2-s2.0-85153925166&amp;doi=10.1007%2F978-3-658-37182-1&amp;partnerID=40&amp;md5=f3e21042ca5985555b23af0f55370b23" TargetMode="External"/><Relationship Id="rId39" Type="http://schemas.openxmlformats.org/officeDocument/2006/relationships/hyperlink" Target="https://www.scopus.com/inward/record.uri?eid=2-s2.0-85197384152&amp;doi=10.1108%2FJSTPM-05-2023-0064&amp;partnerID=40&amp;md5=e200929a6cc0e1bd31841b7eee80058e" TargetMode="External"/><Relationship Id="rId38" Type="http://schemas.openxmlformats.org/officeDocument/2006/relationships/hyperlink" Target="https://www.scopus.com/inward/record.uri?eid=2-s2.0-85113599492&amp;doi=10.1016%2Fj.ijme.2021.100550&amp;partnerID=40&amp;md5=397c2d02e898c14cc513c57d713905df" TargetMode="External"/><Relationship Id="rId62" Type="http://schemas.openxmlformats.org/officeDocument/2006/relationships/hyperlink" Target="https://www.scopus.com/inward/record.uri?eid=2-s2.0-85106208621&amp;doi=10.1108%2FHESWBL-07-2020-0172&amp;partnerID=40&amp;md5=e3c522961e71a4cfe6ce45f356908f15" TargetMode="External"/><Relationship Id="rId61" Type="http://schemas.openxmlformats.org/officeDocument/2006/relationships/hyperlink" Target="https://www.scopus.com/inward/record.uri?eid=2-s2.0-85195814266&amp;doi=10.1016%2Fj.jenvman.2024.121412&amp;partnerID=40&amp;md5=7b05a90ef7823248e810c4eed9c39bad" TargetMode="External"/><Relationship Id="rId20" Type="http://schemas.openxmlformats.org/officeDocument/2006/relationships/hyperlink" Target="https://www.scopus.com/inward/record.uri?eid=2-s2.0-85201346330&amp;doi=10.4018%2F979-8-3693-3003-6&amp;partnerID=40&amp;md5=110e204f51adc146eea49fcca1cf42af" TargetMode="External"/><Relationship Id="rId64" Type="http://schemas.openxmlformats.org/officeDocument/2006/relationships/hyperlink" Target="https://www.scopus.com/inward/record.uri?eid=2-s2.0-85144381352&amp;doi=10.1108%2F9781839821608&amp;partnerID=40&amp;md5=dc2bbc2633a55de8ef2c7679515f2b32" TargetMode="External"/><Relationship Id="rId63" Type="http://schemas.openxmlformats.org/officeDocument/2006/relationships/hyperlink" Target="https://www.scopus.com/inward/record.uri?eid=2-s2.0-85103627379&amp;doi=10.2196%2F19765&amp;partnerID=40&amp;md5=efbb3a49e8ee7aa4428c4c94b15386fa" TargetMode="External"/><Relationship Id="rId22" Type="http://schemas.openxmlformats.org/officeDocument/2006/relationships/hyperlink" Target="https://www.scopus.com/inward/record.uri?eid=2-s2.0-85120378578&amp;doi=10.1002%2Fase.2126&amp;partnerID=40&amp;md5=83c160f5cce2afa4985b6b41dced69a2" TargetMode="External"/><Relationship Id="rId66" Type="http://schemas.openxmlformats.org/officeDocument/2006/relationships/hyperlink" Target="https://www.scopus.com/inward/record.uri?eid=2-s2.0-105028195172&amp;doi=10.1080%2F10899995.2026.2617379&amp;partnerID=40&amp;md5=cb7a7b12a42fa92bb1c9677ee3ad5754" TargetMode="External"/><Relationship Id="rId21" Type="http://schemas.openxmlformats.org/officeDocument/2006/relationships/hyperlink" Target="https://www.scopus.com/inward/record.uri?eid=2-s2.0-85138236401&amp;partnerID=40&amp;md5=8efbde0322350ab3659dba0aaf99f889" TargetMode="External"/><Relationship Id="rId65" Type="http://schemas.openxmlformats.org/officeDocument/2006/relationships/hyperlink" Target="https://www.scopus.com/inward/record.uri?eid=2-s2.0-105013367514&amp;doi=10.1007%2F978-3-030-43283-6_41&amp;partnerID=40&amp;md5=edb22529fb07060fd89aeced00596e08" TargetMode="External"/><Relationship Id="rId24" Type="http://schemas.openxmlformats.org/officeDocument/2006/relationships/hyperlink" Target="https://www.scopus.com/inward/record.uri?eid=2-s2.0-85102211699&amp;doi=10.1037%2Ffsh0000537&amp;partnerID=40&amp;md5=1c2887c25f24343e2654acadf9ce455d" TargetMode="External"/><Relationship Id="rId68" Type="http://schemas.openxmlformats.org/officeDocument/2006/relationships/hyperlink" Target="https://www.scopus.com/inward/record.uri?eid=2-s2.0-105016623093&amp;doi=10.4324%2F9781003632351&amp;partnerID=40&amp;md5=5974bfe5bea0473c6affd0cc8a0f7e36" TargetMode="External"/><Relationship Id="rId23" Type="http://schemas.openxmlformats.org/officeDocument/2006/relationships/hyperlink" Target="https://www.scopus.com/inward/record.uri?eid=2-s2.0-105012237309&amp;doi=10.4018%2F979-8-3373-1892-9&amp;partnerID=40&amp;md5=85ee1effda8e0873669522ab5960b0d5" TargetMode="External"/><Relationship Id="rId67" Type="http://schemas.openxmlformats.org/officeDocument/2006/relationships/hyperlink" Target="https://www.scopus.com/inward/record.uri?eid=2-s2.0-85079891448&amp;doi=10.1109%2FTHMS.2020.2969014&amp;partnerID=40&amp;md5=4a36e504e87000ce5512787a1655bb37" TargetMode="External"/><Relationship Id="rId60" Type="http://schemas.openxmlformats.org/officeDocument/2006/relationships/hyperlink" Target="https://www.scopus.com/inward/record.uri?eid=2-s2.0-85202070838&amp;partnerID=40&amp;md5=541831a55febfb8390cf4340bcbb1d15" TargetMode="External"/><Relationship Id="rId26" Type="http://schemas.openxmlformats.org/officeDocument/2006/relationships/hyperlink" Target="https://www.scopus.com/inward/record.uri?eid=2-s2.0-85138438385&amp;doi=10.1145%2F3555009.3555018&amp;partnerID=40&amp;md5=48ce511d72d202679494cff5f89d1288" TargetMode="External"/><Relationship Id="rId25" Type="http://schemas.openxmlformats.org/officeDocument/2006/relationships/hyperlink" Target="https://www.scopus.com/inward/record.uri?eid=2-s2.0-85197174004&amp;doi=10.3390%2Feducsci14060617&amp;partnerID=40&amp;md5=a0de5a9c567589d4bd19a507b3a56d73" TargetMode="External"/><Relationship Id="rId69" Type="http://schemas.openxmlformats.org/officeDocument/2006/relationships/hyperlink" Target="https://www.scopus.com/inward/record.uri?eid=2-s2.0-85205351931&amp;doi=10.1007%2F978-3-031-45787-6&amp;partnerID=40&amp;md5=aea884e9e87af6311f2618b8d094c0c2" TargetMode="External"/><Relationship Id="rId28" Type="http://schemas.openxmlformats.org/officeDocument/2006/relationships/hyperlink" Target="https://www.scopus.com/inward/record.uri?eid=2-s2.0-85190817138&amp;doi=10.1201%2F9781003390879&amp;partnerID=40&amp;md5=544bb0dbc7345002e407a7487bd18100" TargetMode="External"/><Relationship Id="rId27" Type="http://schemas.openxmlformats.org/officeDocument/2006/relationships/hyperlink" Target="https://www.scopus.com/inward/record.uri?eid=2-s2.0-105013255947&amp;doi=10.1007%2F978-3-030-43283-6_45&amp;partnerID=40&amp;md5=e40dfe9d2935a543fa1d9a47c8a7f6df" TargetMode="External"/><Relationship Id="rId29" Type="http://schemas.openxmlformats.org/officeDocument/2006/relationships/hyperlink" Target="https://www.scopus.com/inward/record.uri?eid=2-s2.0-105017052675&amp;doi=10.1080%2F09639284.2025.2557836&amp;partnerID=40&amp;md5=e4276cbf458fc80945cfb788443f3a09" TargetMode="External"/><Relationship Id="rId51" Type="http://schemas.openxmlformats.org/officeDocument/2006/relationships/hyperlink" Target="https://www.scopus.com/inward/record.uri?eid=2-s2.0-85161817448&amp;doi=10.1016%2FC2020-0-01031-5&amp;partnerID=40&amp;md5=ae104de89175a560a02c8ccb1381ed48" TargetMode="External"/><Relationship Id="rId50" Type="http://schemas.openxmlformats.org/officeDocument/2006/relationships/hyperlink" Target="https://www.scopus.com/inward/record.uri?eid=2-s2.0-85182923420&amp;doi=10.1007%2F978-3-031-47148-3&amp;partnerID=40&amp;md5=34f6b059854a6bc4b4d051374bcf760b" TargetMode="External"/><Relationship Id="rId53" Type="http://schemas.openxmlformats.org/officeDocument/2006/relationships/hyperlink" Target="https://www.scopus.com/inward/record.uri?eid=2-s2.0-105022960242&amp;doi=10.1007%2F978-981-96-3588-7&amp;partnerID=40&amp;md5=66cb06a72be0b5c4208105a086ea25bc" TargetMode="External"/><Relationship Id="rId52" Type="http://schemas.openxmlformats.org/officeDocument/2006/relationships/hyperlink" Target="https://www.scopus.com/inward/record.uri?eid=2-s2.0-105024931227&amp;doi=10.1017%2F9781009093873&amp;partnerID=40&amp;md5=6fca6fcc685a301d530132e2df19e325" TargetMode="External"/><Relationship Id="rId11" Type="http://schemas.openxmlformats.org/officeDocument/2006/relationships/hyperlink" Target="https://www.scopus.com/inward/record.uri?eid=2-s2.0-85202055584&amp;partnerID=40&amp;md5=a1ee85b92ec09f2399c85f4bcbdaf851" TargetMode="External"/><Relationship Id="rId55" Type="http://schemas.openxmlformats.org/officeDocument/2006/relationships/hyperlink" Target="https://www.scopus.com/inward/record.uri?eid=2-s2.0-105029863285&amp;doi=10.1080%2F03098265.2026.2627604&amp;partnerID=40&amp;md5=9544ac42ce1549436eacb65843c9581d" TargetMode="External"/><Relationship Id="rId10" Type="http://schemas.openxmlformats.org/officeDocument/2006/relationships/hyperlink" Target="https://www.scopus.com/inward/record.uri?eid=2-s2.0-105012932036&amp;doi=10.2196%2F60757&amp;partnerID=40&amp;md5=fab41fda6504643ba40026189f9b60c9" TargetMode="External"/><Relationship Id="rId54" Type="http://schemas.openxmlformats.org/officeDocument/2006/relationships/hyperlink" Target="https://www.scopus.com/inward/record.uri?eid=2-s2.0-85217070185&amp;doi=10.1002%2Ftea.22031&amp;partnerID=40&amp;md5=adb3dfd7c24c62ba7dcdb90609d95c31" TargetMode="External"/><Relationship Id="rId13" Type="http://schemas.openxmlformats.org/officeDocument/2006/relationships/hyperlink" Target="https://www.scopus.com/inward/record.uri?eid=2-s2.0-105031884856&amp;doi=10.1061%2FJCEECD.EIENG-2294&amp;partnerID=40&amp;md5=81d7c974bf0d0627a570a494fd79c334" TargetMode="External"/><Relationship Id="rId57" Type="http://schemas.openxmlformats.org/officeDocument/2006/relationships/hyperlink" Target="https://www.scopus.com/inward/record.uri?eid=2-s2.0-85126672383&amp;doi=10.1109%2FICIC53490.2021.9693061&amp;partnerID=40&amp;md5=a70140249ff4fc5e5834c168e4786777" TargetMode="External"/><Relationship Id="rId12" Type="http://schemas.openxmlformats.org/officeDocument/2006/relationships/hyperlink" Target="https://www.scopus.com/inward/record.uri?eid=2-s2.0-85095761044&amp;partnerID=40&amp;md5=11ff7d295be7d395c1f42698884ee4bf" TargetMode="External"/><Relationship Id="rId56" Type="http://schemas.openxmlformats.org/officeDocument/2006/relationships/hyperlink" Target="https://www.scopus.com/inward/record.uri?eid=2-s2.0-85124958852&amp;doi=10.1080%2F03043797.2022.2031895&amp;partnerID=40&amp;md5=53bd482b6502d3374913b091485f1e12" TargetMode="External"/><Relationship Id="rId15" Type="http://schemas.openxmlformats.org/officeDocument/2006/relationships/hyperlink" Target="https://www.scopus.com/inward/record.uri?eid=2-s2.0-85091192323&amp;doi=10.1371%2Fjournal.pone.0239140&amp;partnerID=40&amp;md5=45e928025ce94de98966974bd9eca2c7" TargetMode="External"/><Relationship Id="rId59" Type="http://schemas.openxmlformats.org/officeDocument/2006/relationships/hyperlink" Target="https://www.scopus.com/inward/record.uri?eid=2-s2.0-85144592462&amp;doi=10.4324%2F9781003244295&amp;partnerID=40&amp;md5=350c11bead5d6f4ad86228baffe7e217" TargetMode="External"/><Relationship Id="rId14" Type="http://schemas.openxmlformats.org/officeDocument/2006/relationships/hyperlink" Target="https://www.scopus.com/inward/record.uri?eid=2-s2.0-85140846494&amp;doi=10.1007%2F978-3-030-58721-5_4&amp;partnerID=40&amp;md5=29bf7ec03ab0bfd83d3f51dd4d91dcba" TargetMode="External"/><Relationship Id="rId58" Type="http://schemas.openxmlformats.org/officeDocument/2006/relationships/hyperlink" Target="https://www.scopus.com/inward/record.uri?eid=2-s2.0-105000614478&amp;doi=10.1109%2FFIE61694.2024.10893515&amp;partnerID=40&amp;md5=92bf26270b9c6fe06b1257d13021585b" TargetMode="External"/><Relationship Id="rId17" Type="http://schemas.openxmlformats.org/officeDocument/2006/relationships/hyperlink" Target="https://www.scopus.com/inward/record.uri?eid=2-s2.0-85097440655&amp;doi=10.1002%2Fase.2032&amp;partnerID=40&amp;md5=c7f8b8fbeb383d3a4b32758933445ef2" TargetMode="External"/><Relationship Id="rId16" Type="http://schemas.openxmlformats.org/officeDocument/2006/relationships/hyperlink" Target="https://www.scopus.com/inward/record.uri?eid=2-s2.0-85124521764&amp;partnerID=40&amp;md5=1d6a84fdd3afa60d86fbadffb2ca3163" TargetMode="External"/><Relationship Id="rId19" Type="http://schemas.openxmlformats.org/officeDocument/2006/relationships/hyperlink" Target="https://www.scopus.com/inward/record.uri?eid=2-s2.0-85112144355&amp;doi=10.4324%2F9780429430015&amp;partnerID=40&amp;md5=47d59ecb1eee3e3b35fa926dcca3b483" TargetMode="External"/><Relationship Id="rId18" Type="http://schemas.openxmlformats.org/officeDocument/2006/relationships/hyperlink" Target="https://www.scopus.com/inward/record.uri?eid=2-s2.0-85101661635&amp;partnerID=40&amp;md5=1da49c16fea2af545f005a0a653f609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eeexplore.ieee.org/stamp/stamp.jsp?arnumber=10669798" TargetMode="External"/><Relationship Id="rId41" Type="http://schemas.openxmlformats.org/officeDocument/2006/relationships/drawing" Target="../drawings/drawing3.xml"/><Relationship Id="rId1" Type="http://schemas.openxmlformats.org/officeDocument/2006/relationships/hyperlink" Target="https://www.scopus.com/inward/record.uri?eid=2-s2.0-85051187215&amp;partnerID=40&amp;md5=b02a96bfe38a326ac5cad5fb97bd9b32" TargetMode="External"/><Relationship Id="rId2" Type="http://schemas.openxmlformats.org/officeDocument/2006/relationships/hyperlink" Target="https://ieeexplore.ieee.org/stamp/stamp.jsp?arnumber=10343417" TargetMode="External"/><Relationship Id="rId3" Type="http://schemas.openxmlformats.org/officeDocument/2006/relationships/hyperlink" Target="https://ieeexplore.ieee.org/stamp/stamp.jsp?arnumber=9962737" TargetMode="External"/><Relationship Id="rId4" Type="http://schemas.openxmlformats.org/officeDocument/2006/relationships/hyperlink" Target="https://ieeexplore.ieee.org/stamp/stamp.jsp?arnumber=9620585" TargetMode="External"/><Relationship Id="rId9" Type="http://schemas.openxmlformats.org/officeDocument/2006/relationships/hyperlink" Target="https://ieeexplore.ieee.org/stamp/stamp.jsp?arnumber=11016569" TargetMode="External"/><Relationship Id="rId5" Type="http://schemas.openxmlformats.org/officeDocument/2006/relationships/hyperlink" Target="https://ieeexplore.ieee.org/stamp/stamp.jsp?arnumber=11323277" TargetMode="External"/><Relationship Id="rId6" Type="http://schemas.openxmlformats.org/officeDocument/2006/relationships/hyperlink" Target="https://ieeexplore.ieee.org/stamp/stamp.jsp?arnumber=9682432" TargetMode="External"/><Relationship Id="rId7" Type="http://schemas.openxmlformats.org/officeDocument/2006/relationships/hyperlink" Target="https://ieeexplore.ieee.org/stamp/stamp.jsp?arnumber=11024378" TargetMode="External"/><Relationship Id="rId8" Type="http://schemas.openxmlformats.org/officeDocument/2006/relationships/hyperlink" Target="https://ieeexplore.ieee.org/stamp/stamp.jsp?arnumber=9766574" TargetMode="External"/><Relationship Id="rId31" Type="http://schemas.openxmlformats.org/officeDocument/2006/relationships/hyperlink" Target="https://ieeexplore.ieee.org/stamp/stamp.jsp?arnumber=10578852" TargetMode="External"/><Relationship Id="rId30" Type="http://schemas.openxmlformats.org/officeDocument/2006/relationships/hyperlink" Target="https://ieeexplore.ieee.org/stamp/stamp.jsp?arnumber=10893386" TargetMode="External"/><Relationship Id="rId33" Type="http://schemas.openxmlformats.org/officeDocument/2006/relationships/hyperlink" Target="https://ieeexplore.ieee.org/stamp/stamp.jsp?arnumber=9453932" TargetMode="External"/><Relationship Id="rId32" Type="http://schemas.openxmlformats.org/officeDocument/2006/relationships/hyperlink" Target="https://ieeexplore.ieee.org/stamp/stamp.jsp?arnumber=9629124" TargetMode="External"/><Relationship Id="rId35" Type="http://schemas.openxmlformats.org/officeDocument/2006/relationships/hyperlink" Target="https://ieeexplore.ieee.org/stamp/stamp.jsp?arnumber=11311909" TargetMode="External"/><Relationship Id="rId34" Type="http://schemas.openxmlformats.org/officeDocument/2006/relationships/hyperlink" Target="https://ieeexplore.ieee.org/stamp/stamp.jsp?arnumber=10343344" TargetMode="External"/><Relationship Id="rId37" Type="http://schemas.openxmlformats.org/officeDocument/2006/relationships/hyperlink" Target="https://ieeexplore.ieee.org/stamp/stamp.jsp?arnumber=10893391" TargetMode="External"/><Relationship Id="rId36" Type="http://schemas.openxmlformats.org/officeDocument/2006/relationships/hyperlink" Target="https://ieeexplore.ieee.org/stamp/stamp.jsp?arnumber=10731803" TargetMode="External"/><Relationship Id="rId39" Type="http://schemas.openxmlformats.org/officeDocument/2006/relationships/hyperlink" Target="https://ieeexplore.ieee.org/stamp/stamp.jsp?arnumber=9165168" TargetMode="External"/><Relationship Id="rId38" Type="http://schemas.openxmlformats.org/officeDocument/2006/relationships/hyperlink" Target="https://ieeexplore.ieee.org/stamp/stamp.jsp?arnumber=10001740" TargetMode="External"/><Relationship Id="rId20" Type="http://schemas.openxmlformats.org/officeDocument/2006/relationships/hyperlink" Target="https://ieeexplore.ieee.org/stamp/stamp.jsp?arnumber=10343064" TargetMode="External"/><Relationship Id="rId22" Type="http://schemas.openxmlformats.org/officeDocument/2006/relationships/hyperlink" Target="https://ieeexplore.ieee.org/stamp/stamp.jsp?arnumber=11294472" TargetMode="External"/><Relationship Id="rId21" Type="http://schemas.openxmlformats.org/officeDocument/2006/relationships/hyperlink" Target="https://ieeexplore.ieee.org/stamp/stamp.jsp?arnumber=10343214" TargetMode="External"/><Relationship Id="rId24" Type="http://schemas.openxmlformats.org/officeDocument/2006/relationships/hyperlink" Target="https://ieeexplore.ieee.org/stamp/stamp.jsp?arnumber=9637127" TargetMode="External"/><Relationship Id="rId23" Type="http://schemas.openxmlformats.org/officeDocument/2006/relationships/hyperlink" Target="https://ieeexplore.ieee.org/stamp/stamp.jsp?arnumber=10757186" TargetMode="External"/><Relationship Id="rId26" Type="http://schemas.openxmlformats.org/officeDocument/2006/relationships/hyperlink" Target="https://ieeexplore.ieee.org/stamp/stamp.jsp?arnumber=10041573" TargetMode="External"/><Relationship Id="rId25" Type="http://schemas.openxmlformats.org/officeDocument/2006/relationships/hyperlink" Target="https://ieeexplore.ieee.org/stamp/stamp.jsp?arnumber=10648793" TargetMode="External"/><Relationship Id="rId28" Type="http://schemas.openxmlformats.org/officeDocument/2006/relationships/hyperlink" Target="https://ieeexplore.ieee.org/stamp/stamp.jsp?arnumber=9782319" TargetMode="External"/><Relationship Id="rId27" Type="http://schemas.openxmlformats.org/officeDocument/2006/relationships/hyperlink" Target="https://ieeexplore.ieee.org/stamp/stamp.jsp?arnumber=10829025" TargetMode="External"/><Relationship Id="rId29" Type="http://schemas.openxmlformats.org/officeDocument/2006/relationships/hyperlink" Target="https://ieeexplore.ieee.org/stamp/stamp.jsp?arnumber=9274033" TargetMode="External"/><Relationship Id="rId11" Type="http://schemas.openxmlformats.org/officeDocument/2006/relationships/hyperlink" Target="https://ieeexplore.ieee.org/stamp/stamp.jsp?arnumber=10125223" TargetMode="External"/><Relationship Id="rId10" Type="http://schemas.openxmlformats.org/officeDocument/2006/relationships/hyperlink" Target="https://ieeexplore.ieee.org/stamp/stamp.jsp?arnumber=10343028" TargetMode="External"/><Relationship Id="rId13" Type="http://schemas.openxmlformats.org/officeDocument/2006/relationships/hyperlink" Target="https://ieeexplore.ieee.org/stamp/stamp.jsp?arnumber=9798903" TargetMode="External"/><Relationship Id="rId12" Type="http://schemas.openxmlformats.org/officeDocument/2006/relationships/hyperlink" Target="https://ieeexplore.ieee.org/stamp/stamp.jsp?arnumber=9118306" TargetMode="External"/><Relationship Id="rId15" Type="http://schemas.openxmlformats.org/officeDocument/2006/relationships/hyperlink" Target="https://ieeexplore.ieee.org/stamp/stamp.jsp?arnumber=10854957" TargetMode="External"/><Relationship Id="rId14" Type="http://schemas.openxmlformats.org/officeDocument/2006/relationships/hyperlink" Target="https://ieeexplore.ieee.org/stamp/stamp.jsp?arnumber=9766516" TargetMode="External"/><Relationship Id="rId17" Type="http://schemas.openxmlformats.org/officeDocument/2006/relationships/hyperlink" Target="https://ieeexplore.ieee.org/stamp/stamp.jsp?arnumber=10834290" TargetMode="External"/><Relationship Id="rId16" Type="http://schemas.openxmlformats.org/officeDocument/2006/relationships/hyperlink" Target="https://ieeexplore.ieee.org/stamp/stamp.jsp?arnumber=10343477" TargetMode="External"/><Relationship Id="rId19" Type="http://schemas.openxmlformats.org/officeDocument/2006/relationships/hyperlink" Target="https://ieeexplore.ieee.org/stamp/stamp.jsp?arnumber=11086358" TargetMode="External"/><Relationship Id="rId18" Type="http://schemas.openxmlformats.org/officeDocument/2006/relationships/hyperlink" Target="https://ieeexplore.ieee.org/stamp/stamp.jsp?arnumber=11239118"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i-org.ez16.periodicos.capes.gov.br/10.1145/3767734" TargetMode="External"/><Relationship Id="rId9" Type="http://schemas.openxmlformats.org/officeDocument/2006/relationships/hyperlink" Target="https://doi-org.ez16.periodicos.capes.gov.br/10.1145/3724363.3729051" TargetMode="External"/><Relationship Id="rId5" Type="http://schemas.openxmlformats.org/officeDocument/2006/relationships/hyperlink" Target="https://doi.org/10.1145/3724389.3730812" TargetMode="External"/><Relationship Id="rId6" Type="http://schemas.openxmlformats.org/officeDocument/2006/relationships/hyperlink" Target="https://doi.org/10.1145/3724389.3730765" TargetMode="External"/><Relationship Id="rId7" Type="http://schemas.openxmlformats.org/officeDocument/2006/relationships/hyperlink" Target="https://doi.org/10.1145/3769994.3770023" TargetMode="External"/><Relationship Id="rId8" Type="http://schemas.openxmlformats.org/officeDocument/2006/relationships/hyperlink" Target="https://doi.org/10.1145/3769994.3770038" TargetMode="External"/><Relationship Id="rId11" Type="http://schemas.openxmlformats.org/officeDocument/2006/relationships/hyperlink" Target="https://doi-org.ez16.periodicos.capes.gov.br/10.1145/3626253.3635492" TargetMode="External"/><Relationship Id="rId10" Type="http://schemas.openxmlformats.org/officeDocument/2006/relationships/hyperlink" Target="https://doi.org/10.1145/3700297.3700345" TargetMode="External"/><Relationship Id="rId13" Type="http://schemas.openxmlformats.org/officeDocument/2006/relationships/vmlDrawing" Target="../drawings/vmlDrawing3.vml"/><Relationship Id="rId1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opus.com/inward/record.uri?eid=2-s2.0-85095761044&amp;partnerID=40&amp;md5=11ff7d295be7d395c1f42698884ee4bf" TargetMode="External"/><Relationship Id="rId2" Type="http://schemas.openxmlformats.org/officeDocument/2006/relationships/hyperlink" Target="https://www.scopus.com/inward/record.uri?eid=2-s2.0-85113599492&amp;doi=10.1016%2Fj.ijme.2021.100550&amp;partnerID=40&amp;md5=397c2d02e898c14cc513c57d713905df" TargetMode="External"/><Relationship Id="rId3" Type="http://schemas.openxmlformats.org/officeDocument/2006/relationships/hyperlink" Target="https://doi.org/10.1145/3769994.3770023" TargetMode="External"/><Relationship Id="rId4" Type="http://schemas.openxmlformats.org/officeDocument/2006/relationships/hyperlink" Target="https://doi.org/10.1145/3769994.3770038" TargetMode="External"/><Relationship Id="rId9" Type="http://schemas.openxmlformats.org/officeDocument/2006/relationships/hyperlink" Target="https://ieeexplore.ieee.org/stamp/stamp.jsp?arnumber=9766516" TargetMode="External"/><Relationship Id="rId5" Type="http://schemas.openxmlformats.org/officeDocument/2006/relationships/hyperlink" Target="https://doi.org/10.1145/3700297.3700345" TargetMode="External"/><Relationship Id="rId6" Type="http://schemas.openxmlformats.org/officeDocument/2006/relationships/hyperlink" Target="https://doi-org.ez16.periodicos.capes.gov.br/10.1145/3626253.3635492" TargetMode="External"/><Relationship Id="rId7" Type="http://schemas.openxmlformats.org/officeDocument/2006/relationships/hyperlink" Target="https://ieeexplore.ieee.org/stamp/stamp.jsp?arnumber=9962737" TargetMode="External"/><Relationship Id="rId8" Type="http://schemas.openxmlformats.org/officeDocument/2006/relationships/hyperlink" Target="https://ieeexplore.ieee.org/stamp/stamp.jsp?arnumber=9682432" TargetMode="External"/><Relationship Id="rId10"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cols>
    <col customWidth="1" min="1" max="1" width="9.88"/>
    <col customWidth="1" min="2" max="2" width="5.0"/>
    <col customWidth="1" hidden="1" min="3" max="3" width="12.5"/>
    <col customWidth="1" min="4" max="4" width="39.75"/>
    <col customWidth="1" min="7" max="7" width="13.38"/>
    <col customWidth="1" hidden="1" min="10" max="10" width="11.25"/>
    <col customWidth="1" min="11" max="11" width="16.0"/>
    <col customWidth="1" min="12" max="12" width="34.25"/>
    <col customWidth="1" min="13" max="13" width="16.0"/>
    <col customWidth="1" min="14" max="15" width="25.88"/>
    <col customWidth="1" min="16" max="16" width="16.0"/>
    <col customWidth="1" min="17" max="17" width="34.5"/>
    <col customWidth="1" min="18" max="18" width="16.0"/>
    <col customWidth="1" min="19" max="19" width="24.13"/>
    <col customWidth="1" min="20" max="20" width="16.0"/>
    <col customWidth="1" min="21" max="21" width="24.13"/>
  </cols>
  <sheetData>
    <row r="1">
      <c r="A1" s="1" t="s">
        <v>0</v>
      </c>
      <c r="B1" s="2" t="s">
        <v>1</v>
      </c>
      <c r="C1" s="3" t="s">
        <v>2</v>
      </c>
      <c r="D1" s="4" t="s">
        <v>3</v>
      </c>
      <c r="E1" s="2" t="s">
        <v>4</v>
      </c>
      <c r="F1" s="4" t="s">
        <v>5</v>
      </c>
      <c r="G1" s="4" t="s">
        <v>6</v>
      </c>
      <c r="H1" s="4" t="s">
        <v>7</v>
      </c>
      <c r="I1" s="2" t="s">
        <v>8</v>
      </c>
      <c r="J1" s="4" t="s">
        <v>9</v>
      </c>
      <c r="K1" s="5" t="s">
        <v>10</v>
      </c>
      <c r="M1" s="5" t="s">
        <v>11</v>
      </c>
      <c r="P1" s="5" t="s">
        <v>12</v>
      </c>
      <c r="R1" s="5" t="s">
        <v>13</v>
      </c>
      <c r="T1" s="5" t="s">
        <v>14</v>
      </c>
      <c r="V1" s="6"/>
      <c r="W1" s="6"/>
      <c r="X1" s="6"/>
      <c r="Y1" s="6"/>
      <c r="Z1" s="6"/>
      <c r="AA1" s="6"/>
      <c r="AB1" s="6"/>
      <c r="AC1" s="6"/>
      <c r="AD1" s="6"/>
      <c r="AE1" s="6"/>
    </row>
    <row r="2">
      <c r="A2" s="7">
        <v>5.0</v>
      </c>
      <c r="B2" s="8" t="s">
        <v>15</v>
      </c>
      <c r="C2" s="9" t="s">
        <v>16</v>
      </c>
      <c r="D2" s="10" t="s">
        <v>17</v>
      </c>
      <c r="E2" s="11" t="s">
        <v>18</v>
      </c>
      <c r="F2" s="12">
        <v>2020.0</v>
      </c>
      <c r="G2" s="13" t="s">
        <v>19</v>
      </c>
      <c r="H2" s="13" t="s">
        <v>20</v>
      </c>
      <c r="I2" s="14" t="s">
        <v>21</v>
      </c>
      <c r="J2" s="15"/>
      <c r="K2" s="16" t="s">
        <v>22</v>
      </c>
      <c r="L2" s="16" t="s">
        <v>23</v>
      </c>
      <c r="M2" s="16" t="s">
        <v>24</v>
      </c>
      <c r="N2" s="17" t="s">
        <v>25</v>
      </c>
      <c r="O2" s="18" t="s">
        <v>26</v>
      </c>
      <c r="P2" s="16" t="s">
        <v>22</v>
      </c>
      <c r="Q2" s="18" t="s">
        <v>27</v>
      </c>
      <c r="R2" s="16" t="s">
        <v>24</v>
      </c>
      <c r="S2" s="16" t="s">
        <v>28</v>
      </c>
      <c r="T2" s="16" t="s">
        <v>22</v>
      </c>
      <c r="U2" s="16" t="s">
        <v>29</v>
      </c>
      <c r="V2" s="6"/>
      <c r="W2" s="6"/>
      <c r="X2" s="6"/>
      <c r="Y2" s="6"/>
      <c r="Z2" s="6"/>
      <c r="AA2" s="6"/>
      <c r="AB2" s="6"/>
      <c r="AC2" s="6"/>
      <c r="AD2" s="6"/>
      <c r="AE2" s="6"/>
    </row>
    <row r="3">
      <c r="A3" s="19">
        <v>5.0</v>
      </c>
      <c r="B3" s="20" t="s">
        <v>30</v>
      </c>
      <c r="C3" s="21" t="s">
        <v>16</v>
      </c>
      <c r="D3" s="22" t="s">
        <v>31</v>
      </c>
      <c r="E3" s="23" t="s">
        <v>32</v>
      </c>
      <c r="F3" s="24">
        <v>2021.0</v>
      </c>
      <c r="G3" s="13" t="s">
        <v>19</v>
      </c>
      <c r="H3" s="13" t="s">
        <v>20</v>
      </c>
      <c r="I3" s="25" t="s">
        <v>33</v>
      </c>
      <c r="J3" s="26"/>
      <c r="K3" s="27" t="s">
        <v>22</v>
      </c>
      <c r="L3" s="28" t="s">
        <v>34</v>
      </c>
      <c r="M3" s="27" t="s">
        <v>22</v>
      </c>
      <c r="N3" s="27" t="s">
        <v>35</v>
      </c>
      <c r="O3" s="27" t="s">
        <v>36</v>
      </c>
      <c r="P3" s="27" t="s">
        <v>22</v>
      </c>
      <c r="Q3" s="28" t="s">
        <v>37</v>
      </c>
      <c r="R3" s="27" t="s">
        <v>24</v>
      </c>
      <c r="S3" s="27" t="s">
        <v>38</v>
      </c>
      <c r="T3" s="27" t="s">
        <v>22</v>
      </c>
      <c r="U3" s="27" t="s">
        <v>39</v>
      </c>
      <c r="V3" s="29"/>
      <c r="W3" s="29"/>
      <c r="X3" s="29"/>
      <c r="Y3" s="29"/>
      <c r="Z3" s="29"/>
      <c r="AA3" s="29"/>
      <c r="AB3" s="29"/>
      <c r="AC3" s="29"/>
      <c r="AD3" s="29"/>
      <c r="AE3" s="29"/>
    </row>
    <row r="4">
      <c r="A4" s="7">
        <v>3.5</v>
      </c>
      <c r="B4" s="8" t="s">
        <v>40</v>
      </c>
      <c r="C4" s="11" t="s">
        <v>41</v>
      </c>
      <c r="D4" s="10" t="s">
        <v>42</v>
      </c>
      <c r="E4" s="11" t="s">
        <v>43</v>
      </c>
      <c r="F4" s="12">
        <v>2022.0</v>
      </c>
      <c r="G4" s="9" t="s">
        <v>44</v>
      </c>
      <c r="H4" s="13" t="s">
        <v>45</v>
      </c>
      <c r="I4" s="14" t="s">
        <v>46</v>
      </c>
      <c r="J4" s="15"/>
      <c r="K4" s="16" t="s">
        <v>24</v>
      </c>
      <c r="L4" s="16" t="s">
        <v>47</v>
      </c>
      <c r="M4" s="16" t="s">
        <v>22</v>
      </c>
      <c r="N4" s="16" t="s">
        <v>48</v>
      </c>
      <c r="O4" s="16" t="s">
        <v>49</v>
      </c>
      <c r="P4" s="16" t="s">
        <v>22</v>
      </c>
      <c r="Q4" s="16" t="s">
        <v>50</v>
      </c>
      <c r="R4" s="16" t="s">
        <v>24</v>
      </c>
      <c r="S4" s="16" t="s">
        <v>51</v>
      </c>
      <c r="T4" s="16" t="s">
        <v>22</v>
      </c>
      <c r="U4" s="16" t="s">
        <v>52</v>
      </c>
      <c r="V4" s="6"/>
      <c r="W4" s="6"/>
      <c r="X4" s="6"/>
      <c r="Y4" s="6"/>
      <c r="Z4" s="6"/>
      <c r="AA4" s="6"/>
      <c r="AB4" s="6"/>
      <c r="AC4" s="6"/>
      <c r="AD4" s="6"/>
      <c r="AE4" s="6"/>
    </row>
    <row r="5" ht="93.0" customHeight="1">
      <c r="A5" s="19">
        <v>5.0</v>
      </c>
      <c r="B5" s="20" t="s">
        <v>53</v>
      </c>
      <c r="C5" s="23" t="s">
        <v>54</v>
      </c>
      <c r="D5" s="22" t="s">
        <v>55</v>
      </c>
      <c r="E5" s="23" t="s">
        <v>56</v>
      </c>
      <c r="F5" s="24">
        <v>2022.0</v>
      </c>
      <c r="G5" s="30" t="s">
        <v>57</v>
      </c>
      <c r="H5" s="13" t="s">
        <v>45</v>
      </c>
      <c r="I5" s="25" t="s">
        <v>58</v>
      </c>
      <c r="J5" s="26"/>
      <c r="K5" s="27" t="s">
        <v>24</v>
      </c>
      <c r="L5" s="27" t="s">
        <v>59</v>
      </c>
      <c r="M5" s="27" t="s">
        <v>22</v>
      </c>
      <c r="N5" s="27" t="s">
        <v>60</v>
      </c>
      <c r="O5" s="27" t="s">
        <v>61</v>
      </c>
      <c r="P5" s="27" t="s">
        <v>22</v>
      </c>
      <c r="Q5" s="27" t="s">
        <v>62</v>
      </c>
      <c r="R5" s="27" t="s">
        <v>22</v>
      </c>
      <c r="S5" s="27" t="s">
        <v>63</v>
      </c>
      <c r="T5" s="27" t="s">
        <v>22</v>
      </c>
      <c r="U5" s="27" t="s">
        <v>64</v>
      </c>
      <c r="V5" s="29"/>
      <c r="W5" s="29"/>
      <c r="X5" s="29"/>
      <c r="Y5" s="29"/>
      <c r="Z5" s="29"/>
      <c r="AA5" s="29"/>
      <c r="AB5" s="29"/>
      <c r="AC5" s="29"/>
      <c r="AD5" s="29"/>
      <c r="AE5" s="29"/>
    </row>
    <row r="6" ht="60.0" customHeight="1">
      <c r="A6" s="7">
        <v>4.0</v>
      </c>
      <c r="B6" s="8" t="s">
        <v>65</v>
      </c>
      <c r="C6" s="11" t="s">
        <v>54</v>
      </c>
      <c r="D6" s="10" t="s">
        <v>66</v>
      </c>
      <c r="E6" s="11" t="s">
        <v>67</v>
      </c>
      <c r="F6" s="12">
        <v>2022.0</v>
      </c>
      <c r="G6" s="9" t="s">
        <v>44</v>
      </c>
      <c r="H6" s="13" t="s">
        <v>45</v>
      </c>
      <c r="I6" s="14" t="s">
        <v>68</v>
      </c>
      <c r="J6" s="15"/>
      <c r="K6" s="16" t="s">
        <v>24</v>
      </c>
      <c r="L6" s="31" t="s">
        <v>69</v>
      </c>
      <c r="M6" s="16" t="s">
        <v>24</v>
      </c>
      <c r="N6" s="16" t="s">
        <v>70</v>
      </c>
      <c r="O6" s="16" t="s">
        <v>71</v>
      </c>
      <c r="P6" s="16" t="s">
        <v>22</v>
      </c>
      <c r="Q6" s="16" t="s">
        <v>72</v>
      </c>
      <c r="R6" s="16" t="s">
        <v>24</v>
      </c>
      <c r="S6" s="16" t="s">
        <v>73</v>
      </c>
      <c r="T6" s="16" t="s">
        <v>24</v>
      </c>
      <c r="U6" s="16" t="s">
        <v>74</v>
      </c>
      <c r="V6" s="6"/>
      <c r="W6" s="6"/>
      <c r="X6" s="6"/>
      <c r="Y6" s="6"/>
      <c r="Z6" s="6"/>
      <c r="AA6" s="6"/>
      <c r="AB6" s="6"/>
      <c r="AC6" s="6"/>
      <c r="AD6" s="6"/>
      <c r="AE6" s="6"/>
    </row>
    <row r="7">
      <c r="A7" s="19">
        <v>4.0</v>
      </c>
      <c r="B7" s="20" t="s">
        <v>75</v>
      </c>
      <c r="C7" s="21" t="s">
        <v>41</v>
      </c>
      <c r="D7" s="22" t="s">
        <v>76</v>
      </c>
      <c r="E7" s="23" t="s">
        <v>77</v>
      </c>
      <c r="F7" s="24">
        <v>2024.0</v>
      </c>
      <c r="G7" s="13" t="s">
        <v>78</v>
      </c>
      <c r="H7" s="13" t="s">
        <v>79</v>
      </c>
      <c r="I7" s="32" t="s">
        <v>80</v>
      </c>
      <c r="J7" s="26"/>
      <c r="K7" s="27" t="s">
        <v>22</v>
      </c>
      <c r="L7" s="27" t="s">
        <v>81</v>
      </c>
      <c r="M7" s="27" t="s">
        <v>22</v>
      </c>
      <c r="N7" s="27" t="s">
        <v>82</v>
      </c>
      <c r="O7" s="27" t="s">
        <v>83</v>
      </c>
      <c r="P7" s="27" t="s">
        <v>22</v>
      </c>
      <c r="Q7" s="27" t="s">
        <v>84</v>
      </c>
      <c r="R7" s="27" t="s">
        <v>85</v>
      </c>
      <c r="S7" s="27" t="s">
        <v>86</v>
      </c>
      <c r="T7" s="27" t="s">
        <v>22</v>
      </c>
      <c r="U7" s="27" t="s">
        <v>87</v>
      </c>
      <c r="V7" s="29"/>
      <c r="W7" s="29"/>
      <c r="X7" s="29"/>
      <c r="Y7" s="29"/>
      <c r="Z7" s="29"/>
      <c r="AA7" s="29"/>
      <c r="AB7" s="29"/>
      <c r="AC7" s="29"/>
      <c r="AD7" s="29"/>
      <c r="AE7" s="29"/>
    </row>
    <row r="8">
      <c r="A8" s="7">
        <v>5.0</v>
      </c>
      <c r="B8" s="8" t="s">
        <v>88</v>
      </c>
      <c r="C8" s="9" t="s">
        <v>89</v>
      </c>
      <c r="D8" s="10" t="s">
        <v>90</v>
      </c>
      <c r="E8" s="11" t="s">
        <v>91</v>
      </c>
      <c r="F8" s="12">
        <v>2025.0</v>
      </c>
      <c r="G8" s="13" t="s">
        <v>78</v>
      </c>
      <c r="H8" s="13" t="s">
        <v>79</v>
      </c>
      <c r="I8" s="33" t="s">
        <v>92</v>
      </c>
      <c r="J8" s="15"/>
      <c r="K8" s="16" t="s">
        <v>24</v>
      </c>
      <c r="L8" s="16" t="s">
        <v>93</v>
      </c>
      <c r="M8" s="16" t="s">
        <v>22</v>
      </c>
      <c r="N8" s="16" t="s">
        <v>94</v>
      </c>
      <c r="O8" s="16" t="s">
        <v>95</v>
      </c>
      <c r="P8" s="16" t="s">
        <v>22</v>
      </c>
      <c r="Q8" s="16" t="s">
        <v>96</v>
      </c>
      <c r="R8" s="16" t="s">
        <v>24</v>
      </c>
      <c r="S8" s="16" t="s">
        <v>97</v>
      </c>
      <c r="T8" s="16" t="s">
        <v>22</v>
      </c>
      <c r="U8" s="16" t="s">
        <v>96</v>
      </c>
      <c r="V8" s="6"/>
      <c r="W8" s="6"/>
      <c r="X8" s="6"/>
      <c r="Y8" s="6"/>
      <c r="Z8" s="6"/>
      <c r="AA8" s="6"/>
      <c r="AB8" s="6"/>
      <c r="AC8" s="6"/>
      <c r="AD8" s="6"/>
      <c r="AE8" s="6"/>
    </row>
    <row r="9">
      <c r="A9" s="19">
        <v>5.0</v>
      </c>
      <c r="B9" s="20" t="s">
        <v>98</v>
      </c>
      <c r="C9" s="21" t="s">
        <v>89</v>
      </c>
      <c r="D9" s="22" t="s">
        <v>99</v>
      </c>
      <c r="E9" s="23" t="s">
        <v>100</v>
      </c>
      <c r="F9" s="24">
        <v>2025.0</v>
      </c>
      <c r="G9" s="13" t="s">
        <v>78</v>
      </c>
      <c r="H9" s="13" t="s">
        <v>79</v>
      </c>
      <c r="I9" s="34" t="s">
        <v>101</v>
      </c>
      <c r="J9" s="26"/>
      <c r="K9" s="27" t="s">
        <v>24</v>
      </c>
      <c r="L9" s="27" t="s">
        <v>102</v>
      </c>
      <c r="M9" s="27" t="s">
        <v>24</v>
      </c>
      <c r="N9" s="27" t="s">
        <v>103</v>
      </c>
      <c r="O9" s="27" t="s">
        <v>104</v>
      </c>
      <c r="P9" s="27" t="s">
        <v>22</v>
      </c>
      <c r="Q9" s="27" t="s">
        <v>105</v>
      </c>
      <c r="R9" s="27" t="s">
        <v>24</v>
      </c>
      <c r="S9" s="27" t="s">
        <v>106</v>
      </c>
      <c r="T9" s="27" t="s">
        <v>22</v>
      </c>
      <c r="U9" s="27" t="s">
        <v>107</v>
      </c>
      <c r="V9" s="6"/>
      <c r="W9" s="6"/>
      <c r="X9" s="6"/>
      <c r="Y9" s="6"/>
      <c r="Z9" s="6"/>
      <c r="AA9" s="6"/>
      <c r="AB9" s="6"/>
      <c r="AC9" s="6"/>
      <c r="AD9" s="6"/>
      <c r="AE9" s="6"/>
    </row>
    <row r="10">
      <c r="A10" s="35"/>
      <c r="B10" s="36"/>
      <c r="D10" s="37"/>
      <c r="F10" s="38"/>
      <c r="J10" s="15"/>
      <c r="K10" s="16"/>
      <c r="L10" s="16"/>
      <c r="M10" s="16"/>
      <c r="N10" s="16"/>
      <c r="O10" s="16"/>
      <c r="P10" s="16"/>
      <c r="Q10" s="16"/>
      <c r="R10" s="16"/>
      <c r="S10" s="16"/>
      <c r="T10" s="16"/>
      <c r="U10" s="16"/>
      <c r="V10" s="29"/>
      <c r="W10" s="29"/>
      <c r="X10" s="29"/>
      <c r="Y10" s="29"/>
      <c r="Z10" s="29"/>
      <c r="AA10" s="29"/>
      <c r="AB10" s="29"/>
      <c r="AC10" s="29"/>
      <c r="AD10" s="29"/>
      <c r="AE10" s="29"/>
    </row>
    <row r="11">
      <c r="A11" s="19"/>
      <c r="B11" s="39"/>
      <c r="C11" s="40"/>
      <c r="D11" s="40"/>
      <c r="E11" s="41"/>
      <c r="F11" s="19"/>
      <c r="G11" s="19"/>
      <c r="H11" s="42"/>
      <c r="I11" s="43"/>
      <c r="J11" s="26"/>
      <c r="K11" s="27"/>
      <c r="L11" s="27"/>
      <c r="M11" s="27"/>
      <c r="N11" s="27"/>
      <c r="O11" s="27"/>
      <c r="P11" s="27"/>
      <c r="Q11" s="27"/>
      <c r="R11" s="27"/>
      <c r="S11" s="27"/>
      <c r="T11" s="27"/>
      <c r="U11" s="27"/>
      <c r="V11" s="6"/>
      <c r="W11" s="6"/>
      <c r="X11" s="6"/>
      <c r="Y11" s="6"/>
      <c r="Z11" s="6"/>
      <c r="AA11" s="6"/>
      <c r="AB11" s="6"/>
      <c r="AC11" s="6"/>
      <c r="AD11" s="6"/>
      <c r="AE11" s="6"/>
    </row>
    <row r="12">
      <c r="A12" s="7"/>
      <c r="B12" s="36"/>
      <c r="C12" s="44"/>
      <c r="D12" s="44"/>
      <c r="E12" s="45"/>
      <c r="F12" s="7"/>
      <c r="G12" s="7"/>
      <c r="H12" s="13"/>
      <c r="I12" s="46"/>
      <c r="J12" s="15"/>
      <c r="K12" s="16"/>
      <c r="L12" s="16"/>
      <c r="M12" s="16"/>
      <c r="N12" s="16"/>
      <c r="O12" s="16"/>
      <c r="P12" s="16"/>
      <c r="Q12" s="16"/>
      <c r="R12" s="16"/>
      <c r="S12" s="16"/>
      <c r="T12" s="16"/>
      <c r="U12" s="16"/>
      <c r="V12" s="29"/>
      <c r="W12" s="29"/>
      <c r="X12" s="29"/>
      <c r="Y12" s="29"/>
      <c r="Z12" s="29"/>
      <c r="AA12" s="29"/>
      <c r="AB12" s="29"/>
      <c r="AC12" s="29"/>
      <c r="AD12" s="29"/>
      <c r="AE12" s="29"/>
    </row>
    <row r="13">
      <c r="A13" s="19"/>
      <c r="B13" s="39"/>
      <c r="C13" s="40"/>
      <c r="D13" s="40"/>
      <c r="E13" s="29"/>
      <c r="F13" s="19"/>
      <c r="G13" s="39"/>
      <c r="H13" s="42"/>
      <c r="I13" s="47"/>
      <c r="J13" s="26"/>
      <c r="K13" s="27"/>
      <c r="L13" s="27"/>
      <c r="M13" s="27"/>
      <c r="N13" s="27"/>
      <c r="O13" s="27"/>
      <c r="P13" s="27"/>
      <c r="Q13" s="27"/>
      <c r="R13" s="27"/>
      <c r="S13" s="27"/>
      <c r="T13" s="27"/>
      <c r="U13" s="27"/>
      <c r="V13" s="29"/>
      <c r="W13" s="29"/>
      <c r="X13" s="29"/>
      <c r="Y13" s="29"/>
      <c r="Z13" s="29"/>
      <c r="AA13" s="29"/>
      <c r="AB13" s="29"/>
      <c r="AC13" s="29"/>
      <c r="AD13" s="29"/>
      <c r="AE13" s="29"/>
    </row>
    <row r="14">
      <c r="A14" s="7"/>
      <c r="B14" s="36"/>
      <c r="C14" s="44"/>
      <c r="D14" s="44"/>
      <c r="E14" s="45"/>
      <c r="F14" s="7"/>
      <c r="G14" s="7"/>
      <c r="H14" s="13"/>
      <c r="I14" s="46"/>
      <c r="J14" s="15"/>
      <c r="K14" s="16"/>
      <c r="L14" s="16"/>
      <c r="M14" s="16"/>
      <c r="N14" s="16"/>
      <c r="O14" s="16"/>
      <c r="P14" s="16"/>
      <c r="Q14" s="16"/>
      <c r="R14" s="16"/>
      <c r="S14" s="16"/>
      <c r="T14" s="16"/>
      <c r="U14" s="16"/>
      <c r="V14" s="6"/>
      <c r="W14" s="6"/>
      <c r="X14" s="6"/>
      <c r="Y14" s="6"/>
      <c r="Z14" s="6"/>
      <c r="AA14" s="6"/>
      <c r="AB14" s="6"/>
      <c r="AC14" s="6"/>
      <c r="AD14" s="6"/>
      <c r="AE14" s="6"/>
    </row>
    <row r="15">
      <c r="A15" s="19"/>
      <c r="B15" s="39"/>
      <c r="C15" s="40"/>
      <c r="D15" s="40"/>
      <c r="E15" s="29"/>
      <c r="F15" s="19"/>
      <c r="G15" s="39"/>
      <c r="H15" s="42"/>
      <c r="I15" s="47"/>
      <c r="J15" s="26"/>
      <c r="K15" s="27"/>
      <c r="L15" s="27"/>
      <c r="M15" s="27"/>
      <c r="N15" s="27"/>
      <c r="O15" s="27"/>
      <c r="P15" s="27"/>
      <c r="Q15" s="27"/>
      <c r="R15" s="27"/>
      <c r="S15" s="27"/>
      <c r="T15" s="27"/>
      <c r="U15" s="27"/>
      <c r="V15" s="6"/>
      <c r="W15" s="6"/>
      <c r="X15" s="6"/>
      <c r="Y15" s="6"/>
      <c r="Z15" s="6"/>
      <c r="AA15" s="6"/>
      <c r="AB15" s="6"/>
      <c r="AC15" s="6"/>
      <c r="AD15" s="6"/>
      <c r="AE15" s="6"/>
    </row>
    <row r="16">
      <c r="A16" s="7"/>
      <c r="B16" s="36"/>
      <c r="C16" s="44"/>
      <c r="D16" s="44"/>
      <c r="E16" s="45"/>
      <c r="F16" s="7"/>
      <c r="G16" s="7"/>
      <c r="H16" s="13"/>
      <c r="I16" s="46"/>
      <c r="J16" s="15"/>
      <c r="K16" s="16"/>
      <c r="L16" s="16"/>
      <c r="M16" s="16"/>
      <c r="N16" s="16"/>
      <c r="O16" s="16"/>
      <c r="P16" s="16"/>
      <c r="Q16" s="16"/>
      <c r="R16" s="16"/>
      <c r="S16" s="16"/>
      <c r="T16" s="16"/>
      <c r="U16" s="16"/>
      <c r="V16" s="6"/>
      <c r="W16" s="6"/>
      <c r="X16" s="6"/>
      <c r="Y16" s="6"/>
      <c r="Z16" s="6"/>
      <c r="AA16" s="6"/>
      <c r="AB16" s="6"/>
      <c r="AC16" s="6"/>
      <c r="AD16" s="6"/>
      <c r="AE16" s="6"/>
    </row>
    <row r="17">
      <c r="A17" s="19"/>
      <c r="B17" s="39"/>
      <c r="C17" s="40"/>
      <c r="D17" s="40"/>
      <c r="E17" s="41"/>
      <c r="F17" s="19"/>
      <c r="G17" s="19"/>
      <c r="H17" s="42"/>
      <c r="I17" s="48"/>
      <c r="J17" s="26"/>
      <c r="K17" s="27"/>
      <c r="L17" s="27"/>
      <c r="M17" s="27"/>
      <c r="N17" s="27"/>
      <c r="O17" s="27"/>
      <c r="P17" s="27"/>
      <c r="Q17" s="27"/>
      <c r="R17" s="27"/>
      <c r="S17" s="27"/>
      <c r="T17" s="27"/>
      <c r="U17" s="27"/>
      <c r="V17" s="29"/>
      <c r="W17" s="29"/>
      <c r="X17" s="29"/>
      <c r="Y17" s="29"/>
      <c r="Z17" s="29"/>
      <c r="AA17" s="29"/>
      <c r="AB17" s="29"/>
      <c r="AC17" s="29"/>
      <c r="AD17" s="29"/>
      <c r="AE17" s="29"/>
    </row>
    <row r="18">
      <c r="A18" s="7"/>
      <c r="B18" s="36"/>
      <c r="C18" s="44"/>
      <c r="D18" s="44"/>
      <c r="E18" s="45"/>
      <c r="F18" s="7"/>
      <c r="G18" s="7"/>
      <c r="H18" s="13"/>
      <c r="I18" s="46"/>
      <c r="J18" s="15"/>
      <c r="K18" s="16"/>
      <c r="L18" s="16"/>
      <c r="M18" s="16"/>
      <c r="N18" s="16"/>
      <c r="O18" s="16"/>
      <c r="P18" s="16"/>
      <c r="Q18" s="16"/>
      <c r="R18" s="16"/>
      <c r="S18" s="16"/>
      <c r="T18" s="16"/>
      <c r="U18" s="16"/>
      <c r="V18" s="6"/>
      <c r="W18" s="6"/>
      <c r="X18" s="6"/>
      <c r="Y18" s="6"/>
      <c r="Z18" s="6"/>
      <c r="AA18" s="6"/>
      <c r="AB18" s="6"/>
      <c r="AC18" s="6"/>
      <c r="AD18" s="6"/>
      <c r="AE18" s="6"/>
    </row>
    <row r="19">
      <c r="A19" s="19"/>
      <c r="B19" s="39"/>
      <c r="C19" s="40"/>
      <c r="D19" s="40"/>
      <c r="E19" s="41"/>
      <c r="F19" s="19"/>
      <c r="G19" s="19"/>
      <c r="H19" s="42"/>
      <c r="I19" s="48"/>
      <c r="J19" s="26"/>
      <c r="K19" s="27"/>
      <c r="L19" s="27"/>
      <c r="M19" s="27"/>
      <c r="N19" s="27"/>
      <c r="O19" s="27"/>
      <c r="P19" s="27"/>
      <c r="Q19" s="27"/>
      <c r="R19" s="27"/>
      <c r="S19" s="27"/>
      <c r="T19" s="27"/>
      <c r="U19" s="27"/>
      <c r="V19" s="29"/>
      <c r="W19" s="29"/>
      <c r="X19" s="29"/>
      <c r="Y19" s="29"/>
      <c r="Z19" s="29"/>
      <c r="AA19" s="29"/>
      <c r="AB19" s="29"/>
      <c r="AC19" s="29"/>
      <c r="AD19" s="29"/>
      <c r="AE19" s="29"/>
    </row>
    <row r="20">
      <c r="A20" s="7"/>
      <c r="B20" s="36"/>
      <c r="C20" s="44"/>
      <c r="D20" s="44"/>
      <c r="E20" s="45"/>
      <c r="F20" s="7"/>
      <c r="G20" s="7"/>
      <c r="H20" s="13"/>
      <c r="I20" s="46"/>
      <c r="J20" s="15"/>
      <c r="K20" s="16"/>
      <c r="L20" s="16"/>
      <c r="M20" s="16"/>
      <c r="N20" s="16"/>
      <c r="O20" s="16"/>
      <c r="P20" s="16"/>
      <c r="Q20" s="16"/>
      <c r="R20" s="16"/>
      <c r="S20" s="16"/>
      <c r="T20" s="16"/>
      <c r="U20" s="16"/>
      <c r="V20" s="6"/>
      <c r="W20" s="6"/>
      <c r="X20" s="6"/>
      <c r="Y20" s="6"/>
      <c r="Z20" s="6"/>
      <c r="AA20" s="6"/>
      <c r="AB20" s="6"/>
      <c r="AC20" s="6"/>
      <c r="AD20" s="6"/>
      <c r="AE20" s="6"/>
    </row>
    <row r="21">
      <c r="A21" s="19"/>
      <c r="B21" s="39"/>
      <c r="C21" s="40"/>
      <c r="D21" s="40"/>
      <c r="E21" s="41"/>
      <c r="F21" s="19"/>
      <c r="G21" s="19"/>
      <c r="H21" s="42"/>
      <c r="I21" s="48"/>
      <c r="J21" s="26"/>
      <c r="K21" s="27"/>
      <c r="L21" s="27"/>
      <c r="M21" s="27"/>
      <c r="N21" s="27"/>
      <c r="O21" s="27"/>
      <c r="P21" s="27"/>
      <c r="Q21" s="27"/>
      <c r="R21" s="27"/>
      <c r="S21" s="27"/>
      <c r="T21" s="27"/>
      <c r="U21" s="27"/>
      <c r="V21" s="29"/>
      <c r="W21" s="29"/>
      <c r="X21" s="29"/>
      <c r="Y21" s="29"/>
      <c r="Z21" s="29"/>
      <c r="AA21" s="29"/>
      <c r="AB21" s="29"/>
      <c r="AC21" s="29"/>
      <c r="AD21" s="29"/>
      <c r="AE21" s="29"/>
    </row>
    <row r="22">
      <c r="A22" s="7"/>
      <c r="B22" s="36"/>
      <c r="C22" s="44"/>
      <c r="D22" s="44"/>
      <c r="E22" s="45"/>
      <c r="F22" s="7"/>
      <c r="G22" s="7"/>
      <c r="H22" s="13"/>
      <c r="I22" s="46"/>
      <c r="J22" s="15"/>
      <c r="K22" s="16"/>
      <c r="L22" s="16"/>
      <c r="M22" s="16"/>
      <c r="N22" s="16"/>
      <c r="O22" s="16"/>
      <c r="P22" s="16"/>
      <c r="Q22" s="16"/>
      <c r="R22" s="16"/>
      <c r="S22" s="16"/>
      <c r="T22" s="16"/>
      <c r="U22" s="16"/>
      <c r="V22" s="6"/>
      <c r="W22" s="6"/>
      <c r="X22" s="6"/>
      <c r="Y22" s="6"/>
      <c r="Z22" s="6"/>
      <c r="AA22" s="6"/>
      <c r="AB22" s="6"/>
      <c r="AC22" s="6"/>
      <c r="AD22" s="6"/>
      <c r="AE22" s="6"/>
    </row>
    <row r="23">
      <c r="A23" s="19"/>
      <c r="B23" s="39"/>
      <c r="C23" s="40"/>
      <c r="D23" s="40"/>
      <c r="E23" s="41"/>
      <c r="F23" s="19"/>
      <c r="G23" s="19"/>
      <c r="H23" s="42"/>
      <c r="I23" s="49"/>
      <c r="J23" s="26"/>
      <c r="K23" s="27"/>
      <c r="L23" s="27"/>
      <c r="M23" s="27"/>
      <c r="N23" s="27"/>
      <c r="O23" s="27"/>
      <c r="P23" s="27"/>
      <c r="Q23" s="27"/>
      <c r="R23" s="27"/>
      <c r="S23" s="27"/>
      <c r="T23" s="27"/>
      <c r="U23" s="27"/>
      <c r="V23" s="6"/>
      <c r="W23" s="6"/>
      <c r="X23" s="6"/>
      <c r="Y23" s="6"/>
      <c r="Z23" s="6"/>
      <c r="AA23" s="6"/>
      <c r="AB23" s="6"/>
      <c r="AC23" s="6"/>
      <c r="AD23" s="6"/>
      <c r="AE23" s="6"/>
    </row>
    <row r="24">
      <c r="A24" s="7"/>
      <c r="B24" s="36"/>
      <c r="C24" s="44"/>
      <c r="D24" s="44"/>
      <c r="E24" s="45"/>
      <c r="F24" s="7"/>
      <c r="G24" s="7"/>
      <c r="H24" s="13"/>
      <c r="I24" s="46"/>
      <c r="J24" s="15"/>
      <c r="K24" s="16"/>
      <c r="L24" s="16"/>
      <c r="M24" s="16"/>
      <c r="N24" s="16"/>
      <c r="O24" s="16"/>
      <c r="P24" s="16"/>
      <c r="Q24" s="16"/>
      <c r="R24" s="16"/>
      <c r="S24" s="16"/>
      <c r="T24" s="16"/>
      <c r="U24" s="16"/>
      <c r="V24" s="29"/>
      <c r="W24" s="29"/>
      <c r="X24" s="29"/>
      <c r="Y24" s="29"/>
      <c r="Z24" s="29"/>
      <c r="AA24" s="29"/>
      <c r="AB24" s="29"/>
      <c r="AC24" s="29"/>
      <c r="AD24" s="29"/>
      <c r="AE24" s="29"/>
    </row>
    <row r="25">
      <c r="A25" s="19"/>
      <c r="B25" s="39"/>
      <c r="C25" s="40"/>
      <c r="D25" s="40"/>
      <c r="E25" s="29"/>
      <c r="F25" s="19"/>
      <c r="G25" s="39"/>
      <c r="H25" s="42"/>
      <c r="I25" s="47"/>
      <c r="J25" s="26"/>
      <c r="K25" s="27"/>
      <c r="L25" s="27"/>
      <c r="M25" s="27"/>
      <c r="N25" s="27"/>
      <c r="O25" s="27"/>
      <c r="P25" s="27"/>
      <c r="Q25" s="27"/>
      <c r="R25" s="27"/>
      <c r="S25" s="27"/>
      <c r="T25" s="27"/>
      <c r="U25" s="27"/>
      <c r="V25" s="6"/>
      <c r="W25" s="6"/>
      <c r="X25" s="6"/>
      <c r="Y25" s="6"/>
      <c r="Z25" s="6"/>
      <c r="AA25" s="6"/>
      <c r="AB25" s="6"/>
      <c r="AC25" s="6"/>
      <c r="AD25" s="6"/>
      <c r="AE25" s="6"/>
    </row>
    <row r="26">
      <c r="A26" s="7"/>
      <c r="B26" s="36"/>
      <c r="C26" s="44"/>
      <c r="D26" s="44"/>
      <c r="E26" s="45"/>
      <c r="F26" s="7"/>
      <c r="G26" s="7"/>
      <c r="H26" s="13"/>
      <c r="I26" s="46"/>
      <c r="J26" s="15"/>
      <c r="K26" s="16"/>
      <c r="L26" s="16"/>
      <c r="M26" s="16"/>
      <c r="N26" s="16"/>
      <c r="O26" s="16"/>
      <c r="P26" s="16"/>
      <c r="Q26" s="16"/>
      <c r="R26" s="16"/>
      <c r="S26" s="16"/>
      <c r="T26" s="16"/>
      <c r="U26" s="16"/>
      <c r="V26" s="6"/>
      <c r="W26" s="6"/>
      <c r="X26" s="6"/>
      <c r="Y26" s="6"/>
      <c r="Z26" s="6"/>
      <c r="AA26" s="6"/>
      <c r="AB26" s="6"/>
      <c r="AC26" s="6"/>
      <c r="AD26" s="6"/>
      <c r="AE26" s="6"/>
    </row>
    <row r="27">
      <c r="A27" s="19"/>
      <c r="B27" s="39"/>
      <c r="C27" s="40"/>
      <c r="D27" s="40"/>
      <c r="E27" s="29"/>
      <c r="F27" s="50"/>
      <c r="G27" s="29"/>
      <c r="H27" s="28"/>
      <c r="I27" s="28"/>
      <c r="J27" s="50"/>
      <c r="K27" s="27"/>
      <c r="L27" s="27"/>
      <c r="M27" s="27"/>
      <c r="N27" s="27"/>
      <c r="O27" s="27"/>
      <c r="P27" s="27"/>
      <c r="Q27" s="27"/>
      <c r="R27" s="27"/>
      <c r="S27" s="27"/>
      <c r="T27" s="27"/>
      <c r="U27" s="27"/>
      <c r="V27" s="6"/>
      <c r="W27" s="6"/>
      <c r="X27" s="6"/>
      <c r="Y27" s="6"/>
      <c r="Z27" s="6"/>
      <c r="AA27" s="6"/>
      <c r="AB27" s="6"/>
      <c r="AC27" s="6"/>
      <c r="AD27" s="6"/>
      <c r="AE27" s="6"/>
    </row>
    <row r="28">
      <c r="A28" s="7"/>
      <c r="B28" s="36"/>
      <c r="C28" s="44"/>
      <c r="D28" s="44"/>
      <c r="E28" s="45"/>
      <c r="F28" s="7"/>
      <c r="G28" s="7"/>
      <c r="H28" s="13"/>
      <c r="I28" s="46"/>
      <c r="J28" s="15"/>
      <c r="K28" s="16"/>
      <c r="L28" s="16"/>
      <c r="M28" s="16"/>
      <c r="N28" s="16"/>
      <c r="O28" s="16"/>
      <c r="P28" s="16"/>
      <c r="Q28" s="16"/>
      <c r="R28" s="16"/>
      <c r="S28" s="16"/>
      <c r="T28" s="16"/>
      <c r="U28" s="16"/>
      <c r="V28" s="29"/>
      <c r="W28" s="29"/>
      <c r="X28" s="29"/>
      <c r="Y28" s="29"/>
      <c r="Z28" s="29"/>
      <c r="AA28" s="29"/>
      <c r="AB28" s="29"/>
      <c r="AC28" s="29"/>
      <c r="AD28" s="29"/>
      <c r="AE28" s="29"/>
    </row>
    <row r="29">
      <c r="A29" s="19"/>
      <c r="B29" s="39"/>
      <c r="C29" s="40"/>
      <c r="D29" s="40"/>
      <c r="E29" s="29"/>
      <c r="F29" s="50"/>
      <c r="G29" s="29"/>
      <c r="H29" s="28"/>
      <c r="I29" s="29"/>
      <c r="J29" s="50"/>
      <c r="K29" s="27"/>
      <c r="L29" s="27"/>
      <c r="M29" s="27"/>
      <c r="N29" s="27"/>
      <c r="O29" s="27"/>
      <c r="P29" s="27"/>
      <c r="Q29" s="27"/>
      <c r="R29" s="27"/>
      <c r="S29" s="27"/>
      <c r="T29" s="27"/>
      <c r="U29" s="27"/>
      <c r="V29" s="29"/>
      <c r="W29" s="29"/>
      <c r="X29" s="29"/>
      <c r="Y29" s="29"/>
      <c r="Z29" s="29"/>
      <c r="AA29" s="29"/>
      <c r="AB29" s="29"/>
      <c r="AC29" s="29"/>
      <c r="AD29" s="29"/>
      <c r="AE29" s="29"/>
    </row>
    <row r="30">
      <c r="A30" s="7"/>
      <c r="B30" s="36"/>
      <c r="C30" s="44"/>
      <c r="D30" s="44"/>
      <c r="E30" s="45"/>
      <c r="F30" s="7"/>
      <c r="G30" s="7"/>
      <c r="H30" s="13"/>
      <c r="I30" s="51"/>
      <c r="J30" s="15"/>
      <c r="K30" s="16"/>
      <c r="L30" s="16"/>
      <c r="M30" s="16"/>
      <c r="N30" s="16"/>
      <c r="O30" s="16"/>
      <c r="P30" s="16"/>
      <c r="Q30" s="16"/>
      <c r="R30" s="16"/>
      <c r="S30" s="16"/>
      <c r="T30" s="16"/>
      <c r="U30" s="16"/>
      <c r="V30" s="6"/>
      <c r="W30" s="6"/>
      <c r="X30" s="6"/>
      <c r="Y30" s="6"/>
      <c r="Z30" s="6"/>
      <c r="AA30" s="6"/>
      <c r="AB30" s="6"/>
      <c r="AC30" s="6"/>
      <c r="AD30" s="6"/>
      <c r="AE30" s="6"/>
    </row>
    <row r="31">
      <c r="A31" s="19"/>
      <c r="B31" s="39"/>
      <c r="C31" s="40"/>
      <c r="D31" s="40"/>
      <c r="E31" s="29"/>
      <c r="F31" s="50"/>
      <c r="G31" s="29"/>
      <c r="H31" s="28"/>
      <c r="I31" s="29"/>
      <c r="J31" s="50"/>
      <c r="K31" s="27"/>
      <c r="L31" s="27"/>
      <c r="M31" s="27"/>
      <c r="N31" s="27"/>
      <c r="O31" s="27"/>
      <c r="P31" s="27"/>
      <c r="Q31" s="27"/>
      <c r="R31" s="27"/>
      <c r="S31" s="27"/>
      <c r="T31" s="27"/>
      <c r="U31" s="27"/>
      <c r="V31" s="6"/>
      <c r="W31" s="6"/>
      <c r="X31" s="6"/>
      <c r="Y31" s="6"/>
      <c r="Z31" s="6"/>
      <c r="AA31" s="6"/>
      <c r="AB31" s="6"/>
      <c r="AC31" s="6"/>
      <c r="AD31" s="6"/>
      <c r="AE31" s="6"/>
    </row>
    <row r="32">
      <c r="A32" s="7"/>
      <c r="B32" s="36"/>
      <c r="C32" s="44"/>
      <c r="D32" s="44"/>
      <c r="E32" s="45"/>
      <c r="F32" s="7"/>
      <c r="G32" s="7"/>
      <c r="H32" s="13"/>
      <c r="I32" s="46"/>
      <c r="J32" s="15"/>
      <c r="K32" s="16"/>
      <c r="L32" s="16"/>
      <c r="M32" s="16"/>
      <c r="N32" s="16"/>
      <c r="O32" s="16"/>
      <c r="P32" s="16"/>
      <c r="Q32" s="16"/>
      <c r="R32" s="16"/>
      <c r="S32" s="16"/>
      <c r="T32" s="16"/>
      <c r="U32" s="16"/>
      <c r="V32" s="29"/>
      <c r="W32" s="29"/>
      <c r="X32" s="29"/>
      <c r="Y32" s="29"/>
      <c r="Z32" s="29"/>
      <c r="AA32" s="29"/>
      <c r="AB32" s="29"/>
      <c r="AC32" s="29"/>
      <c r="AD32" s="29"/>
      <c r="AE32" s="29"/>
    </row>
    <row r="33">
      <c r="A33" s="19"/>
      <c r="B33" s="39"/>
      <c r="C33" s="40"/>
      <c r="D33" s="40"/>
      <c r="E33" s="29"/>
      <c r="F33" s="50"/>
      <c r="G33" s="29"/>
      <c r="H33" s="28"/>
      <c r="I33" s="29"/>
      <c r="J33" s="50"/>
      <c r="K33" s="27"/>
      <c r="L33" s="27"/>
      <c r="M33" s="27"/>
      <c r="N33" s="27"/>
      <c r="O33" s="27"/>
      <c r="P33" s="27"/>
      <c r="Q33" s="27"/>
      <c r="R33" s="27"/>
      <c r="S33" s="27"/>
      <c r="T33" s="27"/>
      <c r="U33" s="27"/>
      <c r="V33" s="6"/>
      <c r="W33" s="6"/>
      <c r="X33" s="6"/>
      <c r="Y33" s="6"/>
      <c r="Z33" s="6"/>
      <c r="AA33" s="6"/>
      <c r="AB33" s="6"/>
      <c r="AC33" s="6"/>
      <c r="AD33" s="6"/>
      <c r="AE33" s="6"/>
    </row>
    <row r="34">
      <c r="A34" s="7"/>
      <c r="B34" s="36"/>
      <c r="C34" s="44"/>
      <c r="D34" s="44"/>
      <c r="E34" s="45"/>
      <c r="F34" s="7"/>
      <c r="G34" s="7"/>
      <c r="H34" s="13"/>
      <c r="I34" s="46"/>
      <c r="J34" s="15"/>
      <c r="K34" s="16"/>
      <c r="L34" s="16"/>
      <c r="M34" s="16"/>
      <c r="N34" s="16"/>
      <c r="O34" s="16"/>
      <c r="P34" s="16"/>
      <c r="Q34" s="16"/>
      <c r="R34" s="16"/>
      <c r="S34" s="16"/>
      <c r="T34" s="16"/>
      <c r="U34" s="16"/>
      <c r="V34" s="29"/>
      <c r="W34" s="29"/>
      <c r="X34" s="29"/>
      <c r="Y34" s="29"/>
      <c r="Z34" s="29"/>
      <c r="AA34" s="29"/>
      <c r="AB34" s="29"/>
      <c r="AC34" s="29"/>
      <c r="AD34" s="29"/>
      <c r="AE34" s="29"/>
    </row>
    <row r="35">
      <c r="A35" s="19"/>
      <c r="B35" s="39"/>
      <c r="C35" s="40"/>
      <c r="D35" s="40"/>
      <c r="E35" s="29"/>
      <c r="F35" s="50"/>
      <c r="G35" s="29"/>
      <c r="H35" s="28"/>
      <c r="I35" s="29"/>
      <c r="J35" s="50"/>
      <c r="K35" s="27"/>
      <c r="L35" s="27"/>
      <c r="M35" s="27"/>
      <c r="N35" s="27"/>
      <c r="O35" s="27"/>
      <c r="P35" s="27"/>
      <c r="Q35" s="27"/>
      <c r="R35" s="27"/>
      <c r="S35" s="27"/>
      <c r="T35" s="27"/>
      <c r="U35" s="27"/>
      <c r="V35" s="29"/>
      <c r="W35" s="29"/>
      <c r="X35" s="29"/>
      <c r="Y35" s="29"/>
      <c r="Z35" s="29"/>
      <c r="AA35" s="29"/>
      <c r="AB35" s="29"/>
      <c r="AC35" s="29"/>
      <c r="AD35" s="29"/>
      <c r="AE35" s="29"/>
    </row>
    <row r="36">
      <c r="A36" s="7"/>
      <c r="B36" s="36"/>
      <c r="C36" s="44"/>
      <c r="D36" s="44"/>
      <c r="E36" s="45"/>
      <c r="F36" s="7"/>
      <c r="G36" s="7"/>
      <c r="H36" s="13"/>
      <c r="I36" s="46"/>
      <c r="J36" s="15"/>
      <c r="K36" s="16"/>
      <c r="L36" s="16"/>
      <c r="M36" s="16"/>
      <c r="N36" s="16"/>
      <c r="O36" s="16"/>
      <c r="P36" s="16"/>
      <c r="Q36" s="16"/>
      <c r="R36" s="16"/>
      <c r="S36" s="16"/>
      <c r="T36" s="16"/>
      <c r="U36" s="16"/>
      <c r="V36" s="6"/>
      <c r="W36" s="6"/>
      <c r="X36" s="6"/>
      <c r="Y36" s="6"/>
      <c r="Z36" s="6"/>
      <c r="AA36" s="6"/>
      <c r="AB36" s="6"/>
      <c r="AC36" s="6"/>
      <c r="AD36" s="6"/>
      <c r="AE36" s="6"/>
    </row>
    <row r="37">
      <c r="A37" s="19"/>
      <c r="B37" s="39"/>
      <c r="C37" s="40"/>
      <c r="D37" s="40"/>
      <c r="E37" s="41"/>
      <c r="F37" s="19"/>
      <c r="G37" s="19"/>
      <c r="H37" s="42"/>
      <c r="I37" s="48"/>
      <c r="J37" s="26"/>
      <c r="K37" s="27"/>
      <c r="L37" s="27"/>
      <c r="M37" s="27"/>
      <c r="N37" s="27"/>
      <c r="O37" s="27"/>
      <c r="P37" s="27"/>
      <c r="Q37" s="27"/>
      <c r="R37" s="27"/>
      <c r="S37" s="27"/>
      <c r="T37" s="27"/>
      <c r="U37" s="27"/>
      <c r="V37" s="29"/>
      <c r="W37" s="29"/>
      <c r="X37" s="29"/>
      <c r="Y37" s="29"/>
      <c r="Z37" s="29"/>
      <c r="AA37" s="29"/>
      <c r="AB37" s="29"/>
      <c r="AC37" s="29"/>
      <c r="AD37" s="29"/>
      <c r="AE37" s="29"/>
    </row>
    <row r="38">
      <c r="A38" s="7"/>
      <c r="B38" s="36"/>
      <c r="C38" s="44"/>
      <c r="D38" s="44"/>
      <c r="E38" s="52"/>
      <c r="F38" s="7"/>
      <c r="G38" s="36"/>
      <c r="H38" s="13"/>
      <c r="I38" s="53"/>
      <c r="J38" s="15"/>
      <c r="K38" s="16"/>
      <c r="L38" s="16"/>
      <c r="M38" s="16"/>
      <c r="N38" s="16"/>
      <c r="O38" s="16"/>
      <c r="P38" s="16"/>
      <c r="Q38" s="16"/>
      <c r="R38" s="16"/>
      <c r="S38" s="16"/>
      <c r="T38" s="16"/>
      <c r="U38" s="16"/>
      <c r="V38" s="29"/>
      <c r="W38" s="29"/>
      <c r="X38" s="29"/>
      <c r="Y38" s="29"/>
      <c r="Z38" s="29"/>
      <c r="AA38" s="29"/>
      <c r="AB38" s="29"/>
      <c r="AC38" s="29"/>
      <c r="AD38" s="29"/>
      <c r="AE38" s="29"/>
    </row>
    <row r="39">
      <c r="A39" s="19"/>
      <c r="B39" s="39"/>
      <c r="C39" s="40"/>
      <c r="D39" s="40"/>
      <c r="E39" s="29"/>
      <c r="F39" s="19"/>
      <c r="G39" s="39"/>
      <c r="H39" s="42"/>
      <c r="I39" s="47"/>
      <c r="J39" s="26"/>
      <c r="K39" s="27"/>
      <c r="L39" s="27"/>
      <c r="M39" s="27"/>
      <c r="N39" s="27"/>
      <c r="O39" s="27"/>
      <c r="P39" s="27"/>
      <c r="Q39" s="27"/>
      <c r="R39" s="27"/>
      <c r="S39" s="27"/>
      <c r="T39" s="27"/>
      <c r="U39" s="27"/>
      <c r="V39" s="6"/>
      <c r="W39" s="6"/>
      <c r="X39" s="6"/>
      <c r="Y39" s="6"/>
      <c r="Z39" s="6"/>
      <c r="AA39" s="6"/>
      <c r="AB39" s="6"/>
      <c r="AC39" s="6"/>
      <c r="AD39" s="6"/>
      <c r="AE39" s="6"/>
    </row>
    <row r="40">
      <c r="A40" s="7"/>
      <c r="B40" s="36"/>
      <c r="C40" s="44"/>
      <c r="D40" s="44"/>
      <c r="E40" s="52"/>
      <c r="F40" s="7"/>
      <c r="G40" s="36"/>
      <c r="H40" s="13"/>
      <c r="I40" s="54"/>
      <c r="J40" s="15"/>
      <c r="K40" s="16"/>
      <c r="L40" s="16"/>
      <c r="M40" s="16"/>
      <c r="N40" s="16"/>
      <c r="O40" s="16"/>
      <c r="P40" s="16"/>
      <c r="Q40" s="16"/>
      <c r="R40" s="16"/>
      <c r="S40" s="16"/>
      <c r="T40" s="16"/>
      <c r="U40" s="16"/>
      <c r="V40" s="29"/>
      <c r="W40" s="29"/>
      <c r="X40" s="29"/>
      <c r="Y40" s="29"/>
      <c r="Z40" s="29"/>
      <c r="AA40" s="29"/>
      <c r="AB40" s="29"/>
      <c r="AC40" s="29"/>
      <c r="AD40" s="29"/>
      <c r="AE40" s="29"/>
    </row>
    <row r="41">
      <c r="A41" s="19"/>
      <c r="B41" s="39"/>
      <c r="C41" s="40"/>
      <c r="D41" s="40"/>
      <c r="E41" s="29"/>
      <c r="F41" s="19"/>
      <c r="G41" s="39"/>
      <c r="H41" s="42"/>
      <c r="I41" s="47"/>
      <c r="J41" s="26"/>
      <c r="K41" s="27"/>
      <c r="L41" s="27"/>
      <c r="M41" s="27"/>
      <c r="N41" s="27"/>
      <c r="O41" s="27"/>
      <c r="P41" s="27"/>
      <c r="Q41" s="27"/>
      <c r="R41" s="27"/>
      <c r="S41" s="27"/>
      <c r="T41" s="27"/>
      <c r="U41" s="27"/>
      <c r="V41" s="6"/>
      <c r="W41" s="6"/>
      <c r="X41" s="6"/>
      <c r="Y41" s="6"/>
      <c r="Z41" s="6"/>
      <c r="AA41" s="6"/>
      <c r="AB41" s="6"/>
      <c r="AC41" s="6"/>
      <c r="AD41" s="6"/>
      <c r="AE41" s="6"/>
    </row>
    <row r="42">
      <c r="A42" s="7"/>
      <c r="B42" s="36"/>
      <c r="C42" s="44"/>
      <c r="D42" s="44"/>
      <c r="E42" s="52"/>
      <c r="F42" s="7"/>
      <c r="G42" s="36"/>
      <c r="H42" s="13"/>
      <c r="I42" s="55"/>
      <c r="J42" s="15"/>
      <c r="K42" s="16"/>
      <c r="L42" s="16"/>
      <c r="M42" s="16"/>
      <c r="N42" s="16"/>
      <c r="O42" s="16"/>
      <c r="P42" s="16"/>
      <c r="Q42" s="16"/>
      <c r="R42" s="16"/>
      <c r="S42" s="16"/>
      <c r="T42" s="16"/>
      <c r="U42" s="16"/>
      <c r="V42" s="29"/>
      <c r="W42" s="29"/>
      <c r="X42" s="29"/>
      <c r="Y42" s="29"/>
      <c r="Z42" s="29"/>
      <c r="AA42" s="29"/>
      <c r="AB42" s="29"/>
      <c r="AC42" s="29"/>
      <c r="AD42" s="29"/>
      <c r="AE42" s="29"/>
    </row>
    <row r="43">
      <c r="A43" s="19"/>
      <c r="B43" s="39"/>
      <c r="C43" s="40"/>
      <c r="D43" s="40"/>
      <c r="E43" s="29"/>
      <c r="F43" s="19"/>
      <c r="G43" s="39"/>
      <c r="H43" s="42"/>
      <c r="I43" s="47"/>
      <c r="J43" s="26"/>
      <c r="K43" s="27"/>
      <c r="L43" s="27"/>
      <c r="M43" s="27"/>
      <c r="N43" s="27"/>
      <c r="O43" s="27"/>
      <c r="P43" s="27"/>
      <c r="Q43" s="27"/>
      <c r="R43" s="27"/>
      <c r="S43" s="27"/>
      <c r="T43" s="27"/>
      <c r="U43" s="27"/>
      <c r="V43" s="6"/>
      <c r="W43" s="6"/>
      <c r="X43" s="6"/>
      <c r="Y43" s="6"/>
      <c r="Z43" s="6"/>
      <c r="AA43" s="6"/>
      <c r="AB43" s="6"/>
      <c r="AC43" s="6"/>
      <c r="AD43" s="6"/>
      <c r="AE43" s="6"/>
    </row>
    <row r="44">
      <c r="A44" s="7"/>
      <c r="B44" s="36"/>
      <c r="C44" s="44"/>
      <c r="D44" s="44"/>
      <c r="E44" s="52"/>
      <c r="F44" s="7"/>
      <c r="G44" s="36"/>
      <c r="H44" s="13"/>
      <c r="I44" s="55"/>
      <c r="J44" s="15"/>
      <c r="K44" s="16"/>
      <c r="L44" s="16"/>
      <c r="M44" s="16"/>
      <c r="N44" s="16"/>
      <c r="O44" s="16"/>
      <c r="P44" s="16"/>
      <c r="Q44" s="16"/>
      <c r="R44" s="16"/>
      <c r="S44" s="16"/>
      <c r="T44" s="16"/>
      <c r="U44" s="16"/>
      <c r="V44" s="29"/>
      <c r="W44" s="29"/>
      <c r="X44" s="29"/>
      <c r="Y44" s="29"/>
      <c r="Z44" s="29"/>
      <c r="AA44" s="29"/>
      <c r="AB44" s="29"/>
      <c r="AC44" s="29"/>
      <c r="AD44" s="29"/>
      <c r="AE44" s="29"/>
    </row>
    <row r="45">
      <c r="A45" s="19"/>
      <c r="B45" s="39"/>
      <c r="C45" s="40"/>
      <c r="D45" s="40"/>
      <c r="E45" s="29"/>
      <c r="F45" s="50"/>
      <c r="G45" s="29"/>
      <c r="H45" s="28"/>
      <c r="I45" s="29"/>
      <c r="J45" s="50"/>
      <c r="K45" s="27"/>
      <c r="L45" s="27"/>
      <c r="M45" s="27"/>
      <c r="N45" s="27"/>
      <c r="O45" s="27"/>
      <c r="P45" s="27"/>
      <c r="Q45" s="27"/>
      <c r="R45" s="27"/>
      <c r="S45" s="27"/>
      <c r="T45" s="27"/>
      <c r="U45" s="27"/>
      <c r="V45" s="29"/>
      <c r="W45" s="29"/>
      <c r="X45" s="29"/>
      <c r="Y45" s="29"/>
      <c r="Z45" s="29"/>
      <c r="AA45" s="29"/>
      <c r="AB45" s="29"/>
      <c r="AC45" s="29"/>
      <c r="AD45" s="29"/>
      <c r="AE45" s="29"/>
    </row>
    <row r="46">
      <c r="A46" s="7"/>
      <c r="B46" s="36"/>
      <c r="C46" s="44"/>
      <c r="D46" s="44"/>
      <c r="E46" s="52"/>
      <c r="F46" s="7"/>
      <c r="G46" s="36"/>
      <c r="H46" s="13"/>
      <c r="I46" s="54"/>
      <c r="J46" s="15"/>
      <c r="K46" s="16"/>
      <c r="L46" s="16"/>
      <c r="M46" s="16"/>
      <c r="N46" s="16"/>
      <c r="O46" s="16"/>
      <c r="P46" s="16"/>
      <c r="Q46" s="16"/>
      <c r="R46" s="16"/>
      <c r="S46" s="16"/>
      <c r="T46" s="16"/>
      <c r="U46" s="16"/>
      <c r="V46" s="6"/>
      <c r="W46" s="6"/>
      <c r="X46" s="6"/>
      <c r="Y46" s="6"/>
      <c r="Z46" s="6"/>
      <c r="AA46" s="6"/>
      <c r="AB46" s="6"/>
      <c r="AC46" s="6"/>
      <c r="AD46" s="6"/>
      <c r="AE46" s="6"/>
    </row>
    <row r="47">
      <c r="A47" s="19"/>
      <c r="B47" s="39"/>
      <c r="C47" s="40"/>
      <c r="D47" s="40"/>
      <c r="E47" s="29"/>
      <c r="F47" s="19"/>
      <c r="G47" s="39"/>
      <c r="H47" s="42"/>
      <c r="I47" s="47"/>
      <c r="J47" s="26"/>
      <c r="K47" s="27"/>
      <c r="L47" s="27"/>
      <c r="M47" s="27"/>
      <c r="N47" s="27"/>
      <c r="O47" s="27"/>
      <c r="P47" s="27"/>
      <c r="Q47" s="27"/>
      <c r="R47" s="27"/>
      <c r="S47" s="27"/>
      <c r="T47" s="27"/>
      <c r="U47" s="27"/>
      <c r="V47" s="29"/>
      <c r="W47" s="29"/>
      <c r="X47" s="29"/>
      <c r="Y47" s="29"/>
      <c r="Z47" s="29"/>
      <c r="AA47" s="29"/>
      <c r="AB47" s="29"/>
      <c r="AC47" s="29"/>
      <c r="AD47" s="29"/>
      <c r="AE47" s="29"/>
    </row>
    <row r="48">
      <c r="A48" s="7"/>
      <c r="B48" s="36"/>
      <c r="C48" s="44"/>
      <c r="D48" s="44"/>
      <c r="E48" s="52"/>
      <c r="F48" s="7"/>
      <c r="G48" s="36"/>
      <c r="H48" s="13"/>
      <c r="I48" s="55"/>
      <c r="J48" s="15"/>
      <c r="K48" s="16"/>
      <c r="L48" s="16"/>
      <c r="M48" s="16"/>
      <c r="N48" s="16"/>
      <c r="O48" s="16"/>
      <c r="P48" s="16"/>
      <c r="Q48" s="16"/>
      <c r="R48" s="16"/>
      <c r="S48" s="16"/>
      <c r="T48" s="16"/>
      <c r="U48" s="16"/>
      <c r="V48" s="6"/>
      <c r="W48" s="6"/>
      <c r="X48" s="6"/>
      <c r="Y48" s="6"/>
      <c r="Z48" s="6"/>
      <c r="AA48" s="6"/>
      <c r="AB48" s="6"/>
      <c r="AC48" s="6"/>
      <c r="AD48" s="6"/>
      <c r="AE48" s="6"/>
    </row>
    <row r="49">
      <c r="A49" s="19"/>
      <c r="B49" s="39"/>
      <c r="C49" s="40"/>
      <c r="D49" s="40"/>
      <c r="E49" s="29"/>
      <c r="F49" s="19"/>
      <c r="G49" s="39"/>
      <c r="H49" s="42"/>
      <c r="I49" s="47"/>
      <c r="J49" s="26"/>
      <c r="K49" s="27"/>
      <c r="L49" s="27"/>
      <c r="M49" s="27"/>
      <c r="N49" s="27"/>
      <c r="O49" s="27"/>
      <c r="P49" s="27"/>
      <c r="Q49" s="27"/>
      <c r="R49" s="27"/>
      <c r="S49" s="27"/>
      <c r="T49" s="27"/>
      <c r="U49" s="27"/>
      <c r="V49" s="29"/>
      <c r="W49" s="29"/>
      <c r="X49" s="29"/>
      <c r="Y49" s="29"/>
      <c r="Z49" s="29"/>
      <c r="AA49" s="29"/>
      <c r="AB49" s="29"/>
      <c r="AC49" s="29"/>
      <c r="AD49" s="29"/>
      <c r="AE49" s="29"/>
    </row>
    <row r="50">
      <c r="A50" s="7"/>
      <c r="B50" s="36"/>
      <c r="C50" s="44"/>
      <c r="D50" s="44"/>
      <c r="E50" s="52"/>
      <c r="F50" s="56"/>
      <c r="G50" s="52"/>
      <c r="H50" s="18"/>
      <c r="I50" s="52"/>
      <c r="J50" s="56"/>
      <c r="K50" s="16"/>
      <c r="L50" s="16"/>
      <c r="M50" s="16"/>
      <c r="N50" s="16"/>
      <c r="O50" s="16"/>
      <c r="P50" s="16"/>
      <c r="Q50" s="16"/>
      <c r="R50" s="16"/>
      <c r="S50" s="16"/>
      <c r="T50" s="16"/>
      <c r="U50" s="16"/>
      <c r="V50" s="6"/>
      <c r="W50" s="6"/>
      <c r="X50" s="6"/>
      <c r="Y50" s="6"/>
      <c r="Z50" s="6"/>
      <c r="AA50" s="6"/>
      <c r="AB50" s="6"/>
      <c r="AC50" s="6"/>
      <c r="AD50" s="6"/>
      <c r="AE50" s="6"/>
    </row>
    <row r="51">
      <c r="A51" s="19"/>
      <c r="B51" s="39"/>
      <c r="C51" s="40"/>
      <c r="D51" s="40"/>
      <c r="E51" s="29"/>
      <c r="F51" s="19"/>
      <c r="G51" s="39"/>
      <c r="H51" s="42"/>
      <c r="I51" s="47"/>
      <c r="J51" s="26"/>
      <c r="K51" s="27"/>
      <c r="L51" s="27"/>
      <c r="M51" s="27"/>
      <c r="N51" s="27"/>
      <c r="O51" s="27"/>
      <c r="P51" s="27"/>
      <c r="Q51" s="27"/>
      <c r="R51" s="27"/>
      <c r="S51" s="27"/>
      <c r="T51" s="27"/>
      <c r="U51" s="27"/>
      <c r="V51" s="6"/>
      <c r="W51" s="6"/>
      <c r="X51" s="6"/>
      <c r="Y51" s="6"/>
      <c r="Z51" s="6"/>
      <c r="AA51" s="6"/>
      <c r="AB51" s="6"/>
      <c r="AC51" s="6"/>
      <c r="AD51" s="6"/>
      <c r="AE51" s="6"/>
    </row>
    <row r="52">
      <c r="A52" s="7"/>
      <c r="B52" s="36"/>
      <c r="C52" s="44"/>
      <c r="D52" s="44"/>
      <c r="E52" s="52"/>
      <c r="F52" s="7"/>
      <c r="G52" s="36"/>
      <c r="H52" s="13"/>
      <c r="I52" s="55"/>
      <c r="J52" s="15"/>
      <c r="K52" s="16"/>
      <c r="L52" s="16"/>
      <c r="M52" s="16"/>
      <c r="N52" s="16"/>
      <c r="O52" s="16"/>
      <c r="P52" s="16"/>
      <c r="Q52" s="16"/>
      <c r="R52" s="16"/>
      <c r="S52" s="16"/>
      <c r="T52" s="16"/>
      <c r="U52" s="16"/>
      <c r="V52" s="29"/>
      <c r="W52" s="29"/>
      <c r="X52" s="29"/>
      <c r="Y52" s="29"/>
      <c r="Z52" s="29"/>
      <c r="AA52" s="29"/>
      <c r="AB52" s="29"/>
      <c r="AC52" s="29"/>
      <c r="AD52" s="29"/>
      <c r="AE52" s="29"/>
    </row>
    <row r="53">
      <c r="A53" s="19"/>
      <c r="B53" s="39"/>
      <c r="C53" s="40"/>
      <c r="D53" s="40"/>
      <c r="E53" s="29"/>
      <c r="F53" s="19"/>
      <c r="G53" s="39"/>
      <c r="H53" s="42"/>
      <c r="I53" s="47"/>
      <c r="J53" s="26"/>
      <c r="K53" s="27"/>
      <c r="L53" s="27"/>
      <c r="M53" s="27"/>
      <c r="N53" s="27"/>
      <c r="O53" s="27"/>
      <c r="P53" s="27"/>
      <c r="Q53" s="27"/>
      <c r="R53" s="27"/>
      <c r="S53" s="27"/>
      <c r="T53" s="27"/>
      <c r="U53" s="27"/>
      <c r="V53" s="6"/>
      <c r="W53" s="6"/>
      <c r="X53" s="6"/>
      <c r="Y53" s="6"/>
      <c r="Z53" s="6"/>
      <c r="AA53" s="6"/>
      <c r="AB53" s="6"/>
      <c r="AC53" s="6"/>
      <c r="AD53" s="6"/>
      <c r="AE53" s="6"/>
    </row>
    <row r="54">
      <c r="A54" s="7"/>
      <c r="B54" s="36"/>
      <c r="C54" s="44"/>
      <c r="D54" s="44"/>
      <c r="E54" s="52"/>
      <c r="F54" s="7"/>
      <c r="G54" s="36"/>
      <c r="H54" s="13"/>
      <c r="I54" s="55"/>
      <c r="J54" s="15"/>
      <c r="K54" s="16"/>
      <c r="L54" s="16"/>
      <c r="M54" s="16"/>
      <c r="N54" s="16"/>
      <c r="O54" s="16"/>
      <c r="P54" s="16"/>
      <c r="Q54" s="16"/>
      <c r="R54" s="16"/>
      <c r="S54" s="16"/>
      <c r="T54" s="16"/>
      <c r="U54" s="16"/>
      <c r="V54" s="29"/>
      <c r="W54" s="29"/>
      <c r="X54" s="29"/>
      <c r="Y54" s="29"/>
      <c r="Z54" s="29"/>
      <c r="AA54" s="29"/>
      <c r="AB54" s="29"/>
      <c r="AC54" s="29"/>
      <c r="AD54" s="29"/>
      <c r="AE54" s="29"/>
    </row>
    <row r="55">
      <c r="A55" s="19"/>
      <c r="B55" s="39"/>
      <c r="C55" s="40"/>
      <c r="D55" s="40"/>
      <c r="E55" s="29"/>
      <c r="F55" s="50"/>
      <c r="G55" s="29"/>
      <c r="H55" s="28"/>
      <c r="I55" s="29"/>
      <c r="J55" s="50"/>
      <c r="K55" s="27"/>
      <c r="L55" s="27"/>
      <c r="M55" s="27"/>
      <c r="N55" s="27"/>
      <c r="O55" s="27"/>
      <c r="P55" s="27"/>
      <c r="Q55" s="27"/>
      <c r="R55" s="27"/>
      <c r="S55" s="27"/>
      <c r="T55" s="27"/>
      <c r="U55" s="27"/>
      <c r="V55" s="29"/>
      <c r="W55" s="29"/>
      <c r="X55" s="29"/>
      <c r="Y55" s="29"/>
      <c r="Z55" s="29"/>
      <c r="AA55" s="29"/>
      <c r="AB55" s="29"/>
      <c r="AC55" s="29"/>
      <c r="AD55" s="29"/>
      <c r="AE55" s="29"/>
    </row>
    <row r="56">
      <c r="A56" s="7"/>
      <c r="B56" s="36"/>
      <c r="C56" s="44"/>
      <c r="D56" s="44"/>
      <c r="E56" s="52"/>
      <c r="F56" s="56"/>
      <c r="G56" s="52"/>
      <c r="H56" s="18"/>
      <c r="I56" s="52"/>
      <c r="J56" s="56"/>
      <c r="K56" s="16"/>
      <c r="L56" s="16"/>
      <c r="M56" s="16"/>
      <c r="N56" s="16"/>
      <c r="O56" s="16"/>
      <c r="P56" s="16"/>
      <c r="Q56" s="16"/>
      <c r="R56" s="16"/>
      <c r="S56" s="16"/>
      <c r="T56" s="16"/>
      <c r="U56" s="16"/>
      <c r="V56" s="29"/>
      <c r="W56" s="29"/>
      <c r="X56" s="29"/>
      <c r="Y56" s="29"/>
      <c r="Z56" s="29"/>
      <c r="AA56" s="29"/>
      <c r="AB56" s="29"/>
      <c r="AC56" s="29"/>
      <c r="AD56" s="29"/>
      <c r="AE56" s="29"/>
    </row>
    <row r="57">
      <c r="A57" s="19"/>
      <c r="B57" s="39"/>
      <c r="C57" s="40"/>
      <c r="D57" s="40"/>
      <c r="E57" s="29"/>
      <c r="F57" s="50"/>
      <c r="G57" s="29"/>
      <c r="H57" s="28"/>
      <c r="I57" s="29"/>
      <c r="J57" s="50"/>
      <c r="K57" s="27"/>
      <c r="L57" s="27"/>
      <c r="M57" s="27"/>
      <c r="N57" s="27"/>
      <c r="O57" s="27"/>
      <c r="P57" s="27"/>
      <c r="Q57" s="27"/>
      <c r="R57" s="27"/>
      <c r="S57" s="27"/>
      <c r="T57" s="27"/>
      <c r="U57" s="27"/>
      <c r="V57" s="6"/>
      <c r="W57" s="6"/>
      <c r="X57" s="6"/>
      <c r="Y57" s="6"/>
      <c r="Z57" s="6"/>
      <c r="AA57" s="6"/>
      <c r="AB57" s="6"/>
      <c r="AC57" s="6"/>
      <c r="AD57" s="6"/>
      <c r="AE57" s="6"/>
    </row>
    <row r="58">
      <c r="A58" s="7"/>
      <c r="B58" s="36"/>
      <c r="C58" s="44"/>
      <c r="D58" s="44"/>
      <c r="E58" s="52"/>
      <c r="F58" s="56"/>
      <c r="G58" s="52"/>
      <c r="H58" s="18"/>
      <c r="I58" s="52"/>
      <c r="J58" s="56"/>
      <c r="K58" s="16"/>
      <c r="L58" s="16"/>
      <c r="M58" s="16"/>
      <c r="N58" s="16"/>
      <c r="O58" s="16"/>
      <c r="P58" s="16"/>
      <c r="Q58" s="16"/>
      <c r="R58" s="16"/>
      <c r="S58" s="16"/>
      <c r="T58" s="16"/>
      <c r="U58" s="16"/>
      <c r="V58" s="29"/>
      <c r="W58" s="29"/>
      <c r="X58" s="29"/>
      <c r="Y58" s="29"/>
      <c r="Z58" s="29"/>
      <c r="AA58" s="29"/>
      <c r="AB58" s="29"/>
      <c r="AC58" s="29"/>
      <c r="AD58" s="29"/>
      <c r="AE58" s="29"/>
    </row>
    <row r="59">
      <c r="A59" s="19"/>
      <c r="B59" s="39"/>
      <c r="C59" s="40"/>
      <c r="D59" s="40"/>
      <c r="E59" s="29"/>
      <c r="F59" s="50"/>
      <c r="G59" s="29"/>
      <c r="H59" s="28"/>
      <c r="I59" s="29"/>
      <c r="J59" s="50"/>
      <c r="K59" s="27"/>
      <c r="L59" s="27"/>
      <c r="M59" s="27"/>
      <c r="N59" s="27"/>
      <c r="O59" s="27"/>
      <c r="P59" s="27"/>
      <c r="Q59" s="27"/>
      <c r="R59" s="27"/>
      <c r="S59" s="27"/>
      <c r="T59" s="27"/>
      <c r="U59" s="27"/>
      <c r="V59" s="6"/>
      <c r="W59" s="6"/>
      <c r="X59" s="6"/>
      <c r="Y59" s="6"/>
      <c r="Z59" s="6"/>
      <c r="AA59" s="6"/>
      <c r="AB59" s="6"/>
      <c r="AC59" s="6"/>
      <c r="AD59" s="6"/>
      <c r="AE59" s="6"/>
    </row>
    <row r="60">
      <c r="A60" s="7"/>
      <c r="B60" s="36"/>
      <c r="C60" s="44"/>
      <c r="D60" s="44"/>
      <c r="E60" s="52"/>
      <c r="F60" s="56"/>
      <c r="G60" s="52"/>
      <c r="H60" s="18"/>
      <c r="I60" s="57"/>
      <c r="J60" s="56"/>
      <c r="K60" s="16"/>
      <c r="L60" s="16"/>
      <c r="M60" s="16"/>
      <c r="N60" s="16"/>
      <c r="O60" s="16"/>
      <c r="P60" s="16"/>
      <c r="Q60" s="16"/>
      <c r="R60" s="16"/>
      <c r="S60" s="16"/>
      <c r="T60" s="16"/>
      <c r="U60" s="16"/>
      <c r="V60" s="29"/>
      <c r="W60" s="29"/>
      <c r="X60" s="29"/>
      <c r="Y60" s="29"/>
      <c r="Z60" s="29"/>
      <c r="AA60" s="29"/>
      <c r="AB60" s="29"/>
      <c r="AC60" s="29"/>
      <c r="AD60" s="29"/>
      <c r="AE60" s="29"/>
    </row>
    <row r="61">
      <c r="A61" s="19"/>
      <c r="B61" s="39"/>
      <c r="C61" s="40"/>
      <c r="D61" s="40"/>
      <c r="E61" s="29"/>
      <c r="F61" s="50"/>
      <c r="G61" s="29"/>
      <c r="H61" s="28"/>
      <c r="I61" s="58"/>
      <c r="J61" s="50"/>
      <c r="K61" s="27"/>
      <c r="L61" s="27"/>
      <c r="M61" s="27"/>
      <c r="N61" s="27"/>
      <c r="O61" s="27"/>
      <c r="P61" s="27"/>
      <c r="Q61" s="27"/>
      <c r="R61" s="27"/>
      <c r="S61" s="27"/>
      <c r="T61" s="27"/>
      <c r="U61" s="27"/>
      <c r="V61" s="6"/>
      <c r="W61" s="6"/>
      <c r="X61" s="6"/>
      <c r="Y61" s="6"/>
      <c r="Z61" s="6"/>
      <c r="AA61" s="6"/>
      <c r="AB61" s="6"/>
      <c r="AC61" s="6"/>
      <c r="AD61" s="6"/>
      <c r="AE61" s="6"/>
    </row>
    <row r="62">
      <c r="A62" s="7"/>
      <c r="B62" s="36"/>
      <c r="C62" s="44"/>
      <c r="D62" s="44"/>
      <c r="E62" s="52"/>
      <c r="F62" s="56"/>
      <c r="G62" s="52"/>
      <c r="H62" s="18"/>
      <c r="I62" s="52"/>
      <c r="J62" s="56"/>
      <c r="K62" s="16"/>
      <c r="L62" s="16"/>
      <c r="M62" s="16"/>
      <c r="N62" s="16"/>
      <c r="O62" s="16"/>
      <c r="P62" s="16"/>
      <c r="Q62" s="16"/>
      <c r="R62" s="16"/>
      <c r="S62" s="16"/>
      <c r="T62" s="16"/>
      <c r="U62" s="16"/>
      <c r="V62" s="6"/>
      <c r="W62" s="6"/>
      <c r="X62" s="6"/>
      <c r="Y62" s="6"/>
      <c r="Z62" s="6"/>
      <c r="AA62" s="6"/>
      <c r="AB62" s="6"/>
      <c r="AC62" s="6"/>
      <c r="AD62" s="6"/>
      <c r="AE62" s="6"/>
    </row>
    <row r="63">
      <c r="A63" s="19"/>
      <c r="B63" s="39"/>
      <c r="C63" s="40"/>
      <c r="D63" s="40"/>
      <c r="E63" s="29"/>
      <c r="F63" s="50"/>
      <c r="G63" s="29"/>
      <c r="H63" s="28"/>
      <c r="I63" s="29"/>
      <c r="J63" s="50"/>
      <c r="K63" s="27"/>
      <c r="L63" s="27"/>
      <c r="M63" s="27"/>
      <c r="N63" s="27"/>
      <c r="O63" s="27"/>
      <c r="P63" s="27"/>
      <c r="Q63" s="27"/>
      <c r="R63" s="27"/>
      <c r="S63" s="27"/>
      <c r="T63" s="27"/>
      <c r="U63" s="27"/>
      <c r="V63" s="6"/>
      <c r="W63" s="6"/>
      <c r="X63" s="6"/>
      <c r="Y63" s="6"/>
      <c r="Z63" s="6"/>
      <c r="AA63" s="6"/>
      <c r="AB63" s="6"/>
      <c r="AC63" s="6"/>
      <c r="AD63" s="6"/>
      <c r="AE63" s="6"/>
    </row>
    <row r="64">
      <c r="A64" s="7"/>
      <c r="B64" s="36"/>
      <c r="C64" s="44"/>
      <c r="D64" s="44"/>
      <c r="E64" s="52"/>
      <c r="F64" s="56"/>
      <c r="G64" s="52"/>
      <c r="H64" s="18"/>
      <c r="I64" s="57"/>
      <c r="J64" s="56"/>
      <c r="K64" s="16"/>
      <c r="L64" s="16"/>
      <c r="M64" s="16"/>
      <c r="N64" s="16"/>
      <c r="O64" s="16"/>
      <c r="P64" s="16"/>
      <c r="Q64" s="16"/>
      <c r="R64" s="16"/>
      <c r="S64" s="16"/>
      <c r="T64" s="16"/>
      <c r="U64" s="16"/>
      <c r="V64" s="29"/>
      <c r="W64" s="29"/>
      <c r="X64" s="29"/>
      <c r="Y64" s="29"/>
      <c r="Z64" s="29"/>
      <c r="AA64" s="29"/>
      <c r="AB64" s="29"/>
      <c r="AC64" s="29"/>
      <c r="AD64" s="29"/>
      <c r="AE64" s="29"/>
    </row>
    <row r="65">
      <c r="A65" s="19"/>
      <c r="B65" s="39"/>
      <c r="C65" s="40"/>
      <c r="D65" s="40"/>
      <c r="E65" s="29"/>
      <c r="F65" s="50"/>
      <c r="G65" s="29"/>
      <c r="H65" s="28"/>
      <c r="I65" s="28"/>
      <c r="J65" s="50"/>
      <c r="K65" s="27"/>
      <c r="L65" s="27"/>
      <c r="M65" s="27"/>
      <c r="N65" s="27"/>
      <c r="O65" s="27"/>
      <c r="P65" s="27"/>
      <c r="Q65" s="27"/>
      <c r="R65" s="27"/>
      <c r="S65" s="27"/>
      <c r="T65" s="27"/>
      <c r="U65" s="27"/>
      <c r="V65" s="6"/>
      <c r="W65" s="6"/>
      <c r="X65" s="6"/>
      <c r="Y65" s="6"/>
      <c r="Z65" s="6"/>
      <c r="AA65" s="6"/>
      <c r="AB65" s="6"/>
      <c r="AC65" s="6"/>
      <c r="AD65" s="6"/>
      <c r="AE65" s="6"/>
    </row>
    <row r="66">
      <c r="A66" s="7"/>
      <c r="B66" s="36"/>
      <c r="C66" s="44"/>
      <c r="D66" s="44"/>
      <c r="E66" s="52"/>
      <c r="F66" s="56"/>
      <c r="G66" s="52"/>
      <c r="H66" s="18"/>
      <c r="I66" s="52"/>
      <c r="J66" s="56"/>
      <c r="K66" s="16"/>
      <c r="L66" s="16"/>
      <c r="M66" s="16"/>
      <c r="N66" s="16"/>
      <c r="O66" s="16"/>
      <c r="P66" s="16"/>
      <c r="Q66" s="16"/>
      <c r="R66" s="16"/>
      <c r="S66" s="16"/>
      <c r="T66" s="16"/>
      <c r="U66" s="16"/>
      <c r="V66" s="6"/>
      <c r="W66" s="6"/>
      <c r="X66" s="6"/>
      <c r="Y66" s="6"/>
      <c r="Z66" s="6"/>
      <c r="AA66" s="6"/>
      <c r="AB66" s="6"/>
      <c r="AC66" s="6"/>
      <c r="AD66" s="6"/>
      <c r="AE66" s="6"/>
    </row>
    <row r="67">
      <c r="A67" s="19"/>
      <c r="B67" s="39"/>
      <c r="C67" s="40"/>
      <c r="D67" s="40"/>
      <c r="E67" s="29"/>
      <c r="F67" s="50"/>
      <c r="G67" s="29"/>
      <c r="H67" s="28"/>
      <c r="I67" s="29"/>
      <c r="J67" s="50"/>
      <c r="K67" s="27"/>
      <c r="L67" s="27"/>
      <c r="M67" s="27"/>
      <c r="N67" s="27"/>
      <c r="O67" s="27"/>
      <c r="P67" s="27"/>
      <c r="Q67" s="27"/>
      <c r="R67" s="27"/>
      <c r="S67" s="27"/>
      <c r="T67" s="27"/>
      <c r="U67" s="27"/>
      <c r="V67" s="29"/>
      <c r="W67" s="29"/>
      <c r="X67" s="29"/>
      <c r="Y67" s="29"/>
      <c r="Z67" s="29"/>
      <c r="AA67" s="29"/>
      <c r="AB67" s="29"/>
      <c r="AC67" s="29"/>
      <c r="AD67" s="29"/>
      <c r="AE67" s="29"/>
    </row>
    <row r="68">
      <c r="A68" s="7"/>
      <c r="B68" s="36"/>
      <c r="C68" s="44"/>
      <c r="D68" s="44"/>
      <c r="E68" s="52"/>
      <c r="F68" s="56"/>
      <c r="G68" s="52"/>
      <c r="H68" s="18"/>
      <c r="I68" s="52"/>
      <c r="J68" s="56"/>
      <c r="K68" s="16"/>
      <c r="L68" s="16"/>
      <c r="M68" s="16"/>
      <c r="N68" s="16"/>
      <c r="O68" s="16"/>
      <c r="P68" s="16"/>
      <c r="Q68" s="16"/>
      <c r="R68" s="16"/>
      <c r="S68" s="16"/>
      <c r="T68" s="16"/>
      <c r="U68" s="16"/>
      <c r="V68" s="29"/>
      <c r="W68" s="29"/>
      <c r="X68" s="29"/>
      <c r="Y68" s="29"/>
      <c r="Z68" s="29"/>
      <c r="AA68" s="29"/>
      <c r="AB68" s="29"/>
      <c r="AC68" s="29"/>
      <c r="AD68" s="29"/>
      <c r="AE68" s="29"/>
    </row>
    <row r="69">
      <c r="A69" s="19"/>
      <c r="B69" s="39"/>
      <c r="C69" s="40"/>
      <c r="D69" s="40"/>
      <c r="E69" s="29"/>
      <c r="F69" s="50"/>
      <c r="G69" s="29"/>
      <c r="H69" s="28"/>
      <c r="I69" s="29"/>
      <c r="J69" s="50"/>
      <c r="K69" s="27"/>
      <c r="L69" s="27"/>
      <c r="M69" s="27"/>
      <c r="N69" s="27"/>
      <c r="O69" s="27"/>
      <c r="P69" s="27"/>
      <c r="Q69" s="27"/>
      <c r="R69" s="27"/>
      <c r="S69" s="27"/>
      <c r="T69" s="27"/>
      <c r="U69" s="27"/>
      <c r="V69" s="29"/>
      <c r="W69" s="29"/>
      <c r="X69" s="29"/>
      <c r="Y69" s="29"/>
      <c r="Z69" s="29"/>
      <c r="AA69" s="29"/>
      <c r="AB69" s="29"/>
      <c r="AC69" s="29"/>
      <c r="AD69" s="29"/>
      <c r="AE69" s="29"/>
    </row>
    <row r="70">
      <c r="A70" s="7"/>
      <c r="B70" s="36"/>
      <c r="C70" s="44"/>
      <c r="D70" s="44"/>
      <c r="E70" s="52"/>
      <c r="F70" s="56"/>
      <c r="G70" s="52"/>
      <c r="H70" s="18"/>
      <c r="I70" s="52"/>
      <c r="J70" s="56"/>
      <c r="K70" s="16"/>
      <c r="L70" s="16"/>
      <c r="M70" s="16"/>
      <c r="N70" s="16"/>
      <c r="O70" s="16"/>
      <c r="P70" s="16"/>
      <c r="Q70" s="16"/>
      <c r="R70" s="16"/>
      <c r="S70" s="16"/>
      <c r="T70" s="16"/>
      <c r="U70" s="16"/>
      <c r="V70" s="6"/>
      <c r="W70" s="6"/>
      <c r="X70" s="6"/>
      <c r="Y70" s="6"/>
      <c r="Z70" s="6"/>
      <c r="AA70" s="6"/>
      <c r="AB70" s="6"/>
      <c r="AC70" s="6"/>
      <c r="AD70" s="6"/>
      <c r="AE70" s="6"/>
    </row>
    <row r="71">
      <c r="A71" s="19"/>
      <c r="B71" s="39"/>
      <c r="C71" s="40"/>
      <c r="D71" s="40"/>
      <c r="E71" s="29"/>
      <c r="F71" s="50"/>
      <c r="G71" s="29"/>
      <c r="H71" s="28"/>
      <c r="I71" s="58"/>
      <c r="J71" s="50"/>
      <c r="K71" s="27"/>
      <c r="L71" s="27"/>
      <c r="M71" s="27"/>
      <c r="N71" s="27"/>
      <c r="O71" s="27"/>
      <c r="P71" s="27"/>
      <c r="Q71" s="27"/>
      <c r="R71" s="27"/>
      <c r="S71" s="27"/>
      <c r="T71" s="27"/>
      <c r="U71" s="27"/>
      <c r="V71" s="29"/>
      <c r="W71" s="29"/>
      <c r="X71" s="29"/>
      <c r="Y71" s="29"/>
      <c r="Z71" s="29"/>
      <c r="AA71" s="29"/>
      <c r="AB71" s="29"/>
      <c r="AC71" s="29"/>
      <c r="AD71" s="29"/>
      <c r="AE71" s="29"/>
    </row>
    <row r="72">
      <c r="A72" s="7"/>
      <c r="B72" s="36"/>
      <c r="C72" s="44"/>
      <c r="D72" s="44"/>
      <c r="E72" s="52"/>
      <c r="F72" s="56"/>
      <c r="G72" s="52"/>
      <c r="H72" s="18"/>
      <c r="I72" s="52"/>
      <c r="J72" s="56"/>
      <c r="K72" s="16"/>
      <c r="L72" s="16"/>
      <c r="M72" s="16"/>
      <c r="N72" s="16"/>
      <c r="O72" s="16"/>
      <c r="P72" s="16"/>
      <c r="Q72" s="16"/>
      <c r="R72" s="16"/>
      <c r="S72" s="16"/>
      <c r="T72" s="16"/>
      <c r="U72" s="16"/>
      <c r="V72" s="29"/>
      <c r="W72" s="29"/>
      <c r="X72" s="29"/>
      <c r="Y72" s="29"/>
      <c r="Z72" s="29"/>
      <c r="AA72" s="29"/>
      <c r="AB72" s="29"/>
      <c r="AC72" s="29"/>
      <c r="AD72" s="29"/>
      <c r="AE72" s="29"/>
    </row>
    <row r="73">
      <c r="A73" s="19"/>
      <c r="B73" s="39"/>
      <c r="C73" s="40"/>
      <c r="D73" s="40"/>
      <c r="E73" s="29"/>
      <c r="F73" s="50"/>
      <c r="G73" s="29"/>
      <c r="H73" s="28"/>
      <c r="I73" s="29"/>
      <c r="J73" s="50"/>
      <c r="K73" s="27"/>
      <c r="L73" s="27"/>
      <c r="M73" s="27"/>
      <c r="N73" s="27"/>
      <c r="O73" s="27"/>
      <c r="P73" s="27"/>
      <c r="Q73" s="27"/>
      <c r="R73" s="27"/>
      <c r="S73" s="27"/>
      <c r="T73" s="27"/>
      <c r="U73" s="27"/>
      <c r="V73" s="6"/>
      <c r="W73" s="6"/>
      <c r="X73" s="6"/>
      <c r="Y73" s="6"/>
      <c r="Z73" s="6"/>
      <c r="AA73" s="6"/>
      <c r="AB73" s="6"/>
      <c r="AC73" s="6"/>
      <c r="AD73" s="6"/>
      <c r="AE73" s="6"/>
    </row>
  </sheetData>
  <autoFilter ref="$A$1:$U$73">
    <sortState ref="A1:U73">
      <sortCondition ref="F1:F73"/>
    </sortState>
  </autoFilter>
  <mergeCells count="5">
    <mergeCell ref="K1:L1"/>
    <mergeCell ref="M1:O1"/>
    <mergeCell ref="P1:Q1"/>
    <mergeCell ref="R1:S1"/>
    <mergeCell ref="T1:U1"/>
  </mergeCells>
  <dataValidations>
    <dataValidation type="list" allowBlank="1" showErrorMessage="1" sqref="K2:K73 M2:M73 P2:P73 R2:R73 T2:T73">
      <formula1>"Responde Completamente,Responde Parcialmente,Não responde"</formula1>
    </dataValidation>
  </dataValidations>
  <hyperlinks>
    <hyperlink r:id="rId4" ref="I2"/>
    <hyperlink r:id="rId5" ref="I3"/>
    <hyperlink r:id="rId6" ref="I4"/>
    <hyperlink r:id="rId7" ref="I5"/>
    <hyperlink r:id="rId8" ref="I6"/>
    <hyperlink r:id="rId9" ref="I7"/>
    <hyperlink r:id="rId10" ref="I8"/>
    <hyperlink r:id="rId11" ref="I9"/>
  </hyperlinks>
  <drawing r:id="rId12"/>
  <legacy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38"/>
    <col customWidth="1" min="2" max="3" width="17.5"/>
    <col customWidth="1" min="4" max="4" width="30.75"/>
    <col customWidth="1" min="5" max="5" width="7.5"/>
    <col customWidth="1" min="6" max="6" width="83.0"/>
  </cols>
  <sheetData>
    <row r="1">
      <c r="A1" s="59" t="s">
        <v>108</v>
      </c>
      <c r="B1" s="59" t="s">
        <v>54</v>
      </c>
      <c r="C1" s="60"/>
      <c r="D1" s="61" t="s">
        <v>109</v>
      </c>
      <c r="E1" s="62" t="s">
        <v>110</v>
      </c>
      <c r="F1" s="61" t="s">
        <v>111</v>
      </c>
      <c r="G1" s="63" t="s">
        <v>112</v>
      </c>
      <c r="H1" s="62" t="s">
        <v>113</v>
      </c>
      <c r="I1" s="62" t="s">
        <v>114</v>
      </c>
      <c r="J1" s="62" t="s">
        <v>115</v>
      </c>
      <c r="K1" s="62" t="s">
        <v>116</v>
      </c>
      <c r="L1" s="62" t="s">
        <v>117</v>
      </c>
      <c r="M1" s="62" t="s">
        <v>118</v>
      </c>
      <c r="N1" s="64" t="s">
        <v>119</v>
      </c>
      <c r="O1" s="65" t="s">
        <v>8</v>
      </c>
      <c r="P1" s="63" t="s">
        <v>120</v>
      </c>
      <c r="Q1" s="62" t="s">
        <v>121</v>
      </c>
      <c r="R1" s="63" t="s">
        <v>122</v>
      </c>
      <c r="S1" s="63" t="s">
        <v>123</v>
      </c>
      <c r="T1" s="66"/>
    </row>
    <row r="2">
      <c r="A2" s="67" t="s">
        <v>124</v>
      </c>
      <c r="B2" s="67"/>
      <c r="C2" s="67"/>
      <c r="D2" s="68" t="s">
        <v>125</v>
      </c>
      <c r="E2" s="69">
        <v>2022.0</v>
      </c>
      <c r="F2" s="68" t="s">
        <v>126</v>
      </c>
      <c r="G2" s="68" t="s">
        <v>127</v>
      </c>
      <c r="H2" s="69">
        <v>12.0</v>
      </c>
      <c r="I2" s="69">
        <v>11.0</v>
      </c>
      <c r="J2" s="69">
        <v>768.0</v>
      </c>
      <c r="K2" s="70"/>
      <c r="L2" s="70"/>
      <c r="M2" s="69">
        <v>59.0</v>
      </c>
      <c r="N2" s="68" t="s">
        <v>128</v>
      </c>
      <c r="O2" s="71" t="s">
        <v>129</v>
      </c>
      <c r="P2" s="72"/>
      <c r="Q2" s="68" t="s">
        <v>130</v>
      </c>
      <c r="R2" s="68" t="s">
        <v>131</v>
      </c>
      <c r="S2" s="68" t="s">
        <v>132</v>
      </c>
    </row>
    <row r="3">
      <c r="A3" s="67" t="s">
        <v>133</v>
      </c>
      <c r="B3" s="67"/>
      <c r="C3" s="67"/>
      <c r="D3" s="68" t="s">
        <v>134</v>
      </c>
      <c r="E3" s="69">
        <v>2021.0</v>
      </c>
      <c r="F3" s="68" t="s">
        <v>135</v>
      </c>
      <c r="G3" s="68" t="s">
        <v>136</v>
      </c>
      <c r="H3" s="70"/>
      <c r="I3" s="70"/>
      <c r="J3" s="70"/>
      <c r="K3" s="69">
        <v>1.0</v>
      </c>
      <c r="L3" s="69">
        <v>184.0</v>
      </c>
      <c r="M3" s="69">
        <v>3.0</v>
      </c>
      <c r="N3" s="68" t="s">
        <v>137</v>
      </c>
      <c r="O3" s="71" t="s">
        <v>138</v>
      </c>
      <c r="P3" s="72"/>
      <c r="Q3" s="68" t="s">
        <v>139</v>
      </c>
      <c r="R3" s="70"/>
      <c r="S3" s="68" t="s">
        <v>140</v>
      </c>
      <c r="T3" s="73"/>
    </row>
    <row r="4">
      <c r="A4" s="67" t="s">
        <v>124</v>
      </c>
      <c r="B4" s="67"/>
      <c r="C4" s="67"/>
      <c r="D4" s="68" t="s">
        <v>141</v>
      </c>
      <c r="E4" s="69">
        <v>2021.0</v>
      </c>
      <c r="F4" s="68" t="s">
        <v>142</v>
      </c>
      <c r="G4" s="68" t="s">
        <v>143</v>
      </c>
      <c r="H4" s="70"/>
      <c r="I4" s="70"/>
      <c r="J4" s="70"/>
      <c r="K4" s="69">
        <v>1.0</v>
      </c>
      <c r="L4" s="69">
        <v>336.0</v>
      </c>
      <c r="M4" s="69">
        <v>3.0</v>
      </c>
      <c r="N4" s="68" t="s">
        <v>144</v>
      </c>
      <c r="O4" s="71" t="s">
        <v>145</v>
      </c>
      <c r="P4" s="74"/>
      <c r="Q4" s="68" t="s">
        <v>139</v>
      </c>
      <c r="R4" s="70"/>
      <c r="S4" s="68" t="s">
        <v>146</v>
      </c>
      <c r="T4" s="73"/>
    </row>
    <row r="5">
      <c r="A5" s="67" t="s">
        <v>124</v>
      </c>
      <c r="B5" s="67"/>
      <c r="C5" s="67"/>
      <c r="D5" s="68" t="s">
        <v>147</v>
      </c>
      <c r="E5" s="69">
        <v>2025.0</v>
      </c>
      <c r="F5" s="68" t="s">
        <v>148</v>
      </c>
      <c r="G5" s="68" t="s">
        <v>149</v>
      </c>
      <c r="H5" s="69">
        <v>17.0</v>
      </c>
      <c r="I5" s="69">
        <v>3.0</v>
      </c>
      <c r="J5" s="70"/>
      <c r="K5" s="69">
        <v>558.0</v>
      </c>
      <c r="L5" s="69">
        <v>581.0</v>
      </c>
      <c r="M5" s="69">
        <v>1.0</v>
      </c>
      <c r="N5" s="68" t="s">
        <v>150</v>
      </c>
      <c r="O5" s="71" t="s">
        <v>151</v>
      </c>
      <c r="P5" s="72"/>
      <c r="Q5" s="68" t="s">
        <v>152</v>
      </c>
      <c r="R5" s="70"/>
      <c r="S5" s="68" t="s">
        <v>153</v>
      </c>
    </row>
    <row r="6">
      <c r="A6" s="67" t="s">
        <v>154</v>
      </c>
      <c r="B6" s="67" t="s">
        <v>124</v>
      </c>
      <c r="C6" s="67"/>
      <c r="D6" s="68" t="s">
        <v>155</v>
      </c>
      <c r="E6" s="69">
        <v>2024.0</v>
      </c>
      <c r="F6" s="68" t="s">
        <v>156</v>
      </c>
      <c r="G6" s="68" t="s">
        <v>157</v>
      </c>
      <c r="H6" s="69">
        <v>1.0</v>
      </c>
      <c r="I6" s="70"/>
      <c r="J6" s="70"/>
      <c r="K6" s="69">
        <v>346.0</v>
      </c>
      <c r="L6" s="69">
        <v>352.0</v>
      </c>
      <c r="M6" s="69">
        <v>5.0</v>
      </c>
      <c r="N6" s="68" t="s">
        <v>158</v>
      </c>
      <c r="O6" s="71" t="s">
        <v>159</v>
      </c>
      <c r="P6" s="72"/>
      <c r="Q6" s="68" t="s">
        <v>19</v>
      </c>
      <c r="R6" s="68" t="s">
        <v>160</v>
      </c>
      <c r="S6" s="68" t="s">
        <v>161</v>
      </c>
    </row>
    <row r="7">
      <c r="A7" s="67" t="s">
        <v>162</v>
      </c>
      <c r="B7" s="67"/>
      <c r="C7" s="67"/>
      <c r="D7" s="68" t="s">
        <v>163</v>
      </c>
      <c r="E7" s="69">
        <v>2025.0</v>
      </c>
      <c r="F7" s="68" t="s">
        <v>164</v>
      </c>
      <c r="G7" s="68" t="s">
        <v>165</v>
      </c>
      <c r="H7" s="69">
        <v>27.0</v>
      </c>
      <c r="I7" s="70"/>
      <c r="J7" s="68" t="s">
        <v>166</v>
      </c>
      <c r="K7" s="70"/>
      <c r="L7" s="70"/>
      <c r="M7" s="69">
        <v>5.0</v>
      </c>
      <c r="N7" s="68" t="s">
        <v>167</v>
      </c>
      <c r="O7" s="71" t="s">
        <v>168</v>
      </c>
      <c r="P7" s="72"/>
      <c r="Q7" s="68" t="s">
        <v>130</v>
      </c>
      <c r="R7" s="68" t="s">
        <v>131</v>
      </c>
      <c r="S7" s="68" t="s">
        <v>169</v>
      </c>
    </row>
    <row r="8">
      <c r="A8" s="67" t="s">
        <v>124</v>
      </c>
      <c r="B8" s="67"/>
      <c r="C8" s="67"/>
      <c r="D8" s="68" t="s">
        <v>170</v>
      </c>
      <c r="E8" s="69">
        <v>2024.0</v>
      </c>
      <c r="F8" s="68" t="s">
        <v>171</v>
      </c>
      <c r="G8" s="68" t="s">
        <v>172</v>
      </c>
      <c r="H8" s="70"/>
      <c r="I8" s="70"/>
      <c r="J8" s="70"/>
      <c r="K8" s="70"/>
      <c r="L8" s="70"/>
      <c r="M8" s="69">
        <v>1.0</v>
      </c>
      <c r="N8" s="70"/>
      <c r="O8" s="71" t="s">
        <v>173</v>
      </c>
      <c r="P8" s="72"/>
      <c r="Q8" s="68" t="s">
        <v>19</v>
      </c>
      <c r="R8" s="70"/>
      <c r="S8" s="68" t="s">
        <v>174</v>
      </c>
      <c r="T8" s="73"/>
    </row>
    <row r="9">
      <c r="A9" s="67" t="s">
        <v>175</v>
      </c>
      <c r="B9" s="67" t="s">
        <v>175</v>
      </c>
      <c r="C9" s="67"/>
      <c r="D9" s="68" t="s">
        <v>17</v>
      </c>
      <c r="E9" s="69">
        <v>2020.0</v>
      </c>
      <c r="F9" s="68" t="s">
        <v>176</v>
      </c>
      <c r="G9" s="68" t="s">
        <v>18</v>
      </c>
      <c r="H9" s="68" t="s">
        <v>177</v>
      </c>
      <c r="I9" s="70"/>
      <c r="J9" s="69">
        <v>673.0</v>
      </c>
      <c r="K9" s="70"/>
      <c r="L9" s="70"/>
      <c r="M9" s="69">
        <v>2.0</v>
      </c>
      <c r="N9" s="70"/>
      <c r="O9" s="71" t="s">
        <v>21</v>
      </c>
      <c r="P9" s="72"/>
      <c r="Q9" s="68" t="s">
        <v>19</v>
      </c>
      <c r="R9" s="70"/>
      <c r="S9" s="68" t="s">
        <v>178</v>
      </c>
      <c r="T9" s="73"/>
    </row>
    <row r="10">
      <c r="A10" s="67" t="s">
        <v>124</v>
      </c>
      <c r="B10" s="67"/>
      <c r="C10" s="67"/>
      <c r="D10" s="68" t="s">
        <v>179</v>
      </c>
      <c r="E10" s="69">
        <v>2026.0</v>
      </c>
      <c r="F10" s="68" t="s">
        <v>180</v>
      </c>
      <c r="G10" s="68" t="s">
        <v>181</v>
      </c>
      <c r="H10" s="69">
        <v>152.0</v>
      </c>
      <c r="I10" s="69">
        <v>3.0</v>
      </c>
      <c r="J10" s="69">
        <v>4026002.0</v>
      </c>
      <c r="K10" s="70"/>
      <c r="L10" s="70"/>
      <c r="M10" s="69">
        <v>0.0</v>
      </c>
      <c r="N10" s="68" t="s">
        <v>182</v>
      </c>
      <c r="O10" s="71" t="s">
        <v>183</v>
      </c>
      <c r="P10" s="72"/>
      <c r="Q10" s="68" t="s">
        <v>130</v>
      </c>
      <c r="R10" s="70"/>
      <c r="S10" s="68" t="s">
        <v>184</v>
      </c>
    </row>
    <row r="11">
      <c r="A11" s="67" t="s">
        <v>124</v>
      </c>
      <c r="B11" s="67"/>
      <c r="C11" s="67"/>
      <c r="D11" s="68" t="s">
        <v>185</v>
      </c>
      <c r="E11" s="69">
        <v>2021.0</v>
      </c>
      <c r="F11" s="68" t="s">
        <v>186</v>
      </c>
      <c r="G11" s="68" t="s">
        <v>187</v>
      </c>
      <c r="H11" s="70"/>
      <c r="I11" s="70"/>
      <c r="J11" s="70"/>
      <c r="K11" s="69">
        <v>121.0</v>
      </c>
      <c r="L11" s="69">
        <v>152.0</v>
      </c>
      <c r="M11" s="69">
        <v>7.0</v>
      </c>
      <c r="N11" s="68" t="s">
        <v>188</v>
      </c>
      <c r="O11" s="71" t="s">
        <v>189</v>
      </c>
      <c r="P11" s="72"/>
      <c r="Q11" s="68" t="s">
        <v>190</v>
      </c>
      <c r="R11" s="70"/>
      <c r="S11" s="68" t="s">
        <v>191</v>
      </c>
      <c r="T11" s="73"/>
    </row>
    <row r="12">
      <c r="A12" s="67" t="s">
        <v>124</v>
      </c>
      <c r="B12" s="67"/>
      <c r="C12" s="67"/>
      <c r="D12" s="68" t="s">
        <v>192</v>
      </c>
      <c r="E12" s="69">
        <v>2020.0</v>
      </c>
      <c r="F12" s="68" t="s">
        <v>193</v>
      </c>
      <c r="G12" s="68" t="s">
        <v>194</v>
      </c>
      <c r="H12" s="69">
        <v>15.0</v>
      </c>
      <c r="I12" s="68" t="s">
        <v>195</v>
      </c>
      <c r="J12" s="68" t="s">
        <v>196</v>
      </c>
      <c r="K12" s="70"/>
      <c r="L12" s="70"/>
      <c r="M12" s="69">
        <v>42.0</v>
      </c>
      <c r="N12" s="68" t="s">
        <v>197</v>
      </c>
      <c r="O12" s="71" t="s">
        <v>198</v>
      </c>
      <c r="P12" s="72"/>
      <c r="Q12" s="68" t="s">
        <v>130</v>
      </c>
      <c r="R12" s="68" t="s">
        <v>131</v>
      </c>
      <c r="S12" s="68" t="s">
        <v>199</v>
      </c>
      <c r="T12" s="73"/>
    </row>
    <row r="13">
      <c r="A13" s="67" t="s">
        <v>124</v>
      </c>
      <c r="B13" s="67"/>
      <c r="C13" s="67"/>
      <c r="D13" s="68" t="s">
        <v>200</v>
      </c>
      <c r="E13" s="69">
        <v>2021.0</v>
      </c>
      <c r="F13" s="68" t="s">
        <v>201</v>
      </c>
      <c r="G13" s="68" t="s">
        <v>202</v>
      </c>
      <c r="H13" s="70"/>
      <c r="I13" s="70"/>
      <c r="J13" s="70"/>
      <c r="K13" s="70"/>
      <c r="L13" s="70"/>
      <c r="M13" s="69">
        <v>2.0</v>
      </c>
      <c r="N13" s="70"/>
      <c r="O13" s="71" t="s">
        <v>203</v>
      </c>
      <c r="P13" s="72"/>
      <c r="Q13" s="68" t="s">
        <v>19</v>
      </c>
      <c r="R13" s="70"/>
      <c r="S13" s="68" t="s">
        <v>204</v>
      </c>
    </row>
    <row r="14">
      <c r="A14" s="67" t="s">
        <v>124</v>
      </c>
      <c r="B14" s="67"/>
      <c r="C14" s="67"/>
      <c r="D14" s="68" t="s">
        <v>205</v>
      </c>
      <c r="E14" s="69">
        <v>2021.0</v>
      </c>
      <c r="F14" s="68" t="s">
        <v>206</v>
      </c>
      <c r="G14" s="68" t="s">
        <v>207</v>
      </c>
      <c r="H14" s="69">
        <v>14.0</v>
      </c>
      <c r="I14" s="69">
        <v>4.0</v>
      </c>
      <c r="J14" s="70"/>
      <c r="K14" s="69">
        <v>491.0</v>
      </c>
      <c r="L14" s="69">
        <v>504.0</v>
      </c>
      <c r="M14" s="69">
        <v>10.0</v>
      </c>
      <c r="N14" s="68" t="s">
        <v>208</v>
      </c>
      <c r="O14" s="71" t="s">
        <v>209</v>
      </c>
      <c r="P14" s="74"/>
      <c r="Q14" s="68" t="s">
        <v>130</v>
      </c>
      <c r="R14" s="70"/>
      <c r="S14" s="68" t="s">
        <v>210</v>
      </c>
      <c r="T14" s="73"/>
    </row>
    <row r="15">
      <c r="A15" s="67" t="s">
        <v>162</v>
      </c>
      <c r="B15" s="67"/>
      <c r="C15" s="67"/>
      <c r="D15" s="68" t="s">
        <v>211</v>
      </c>
      <c r="E15" s="69">
        <v>2021.0</v>
      </c>
      <c r="F15" s="68" t="s">
        <v>212</v>
      </c>
      <c r="G15" s="68" t="s">
        <v>213</v>
      </c>
      <c r="H15" s="70"/>
      <c r="I15" s="70"/>
      <c r="J15" s="70"/>
      <c r="K15" s="69">
        <v>93.0</v>
      </c>
      <c r="L15" s="69">
        <v>118.0</v>
      </c>
      <c r="M15" s="69">
        <v>1.0</v>
      </c>
      <c r="N15" s="70"/>
      <c r="O15" s="71" t="s">
        <v>214</v>
      </c>
      <c r="P15" s="72"/>
      <c r="Q15" s="68" t="s">
        <v>19</v>
      </c>
      <c r="R15" s="70"/>
      <c r="S15" s="68" t="s">
        <v>215</v>
      </c>
    </row>
    <row r="16">
      <c r="A16" s="67" t="s">
        <v>133</v>
      </c>
      <c r="B16" s="67"/>
      <c r="C16" s="67"/>
      <c r="D16" s="68" t="s">
        <v>216</v>
      </c>
      <c r="E16" s="69">
        <v>2020.0</v>
      </c>
      <c r="F16" s="68" t="s">
        <v>217</v>
      </c>
      <c r="G16" s="68" t="s">
        <v>218</v>
      </c>
      <c r="H16" s="70"/>
      <c r="I16" s="70"/>
      <c r="J16" s="70"/>
      <c r="K16" s="69">
        <v>1.0</v>
      </c>
      <c r="L16" s="69">
        <v>198.0</v>
      </c>
      <c r="M16" s="69">
        <v>7.0</v>
      </c>
      <c r="N16" s="68" t="s">
        <v>219</v>
      </c>
      <c r="O16" s="71" t="s">
        <v>220</v>
      </c>
      <c r="P16" s="72"/>
      <c r="Q16" s="68" t="s">
        <v>139</v>
      </c>
      <c r="R16" s="70"/>
      <c r="S16" s="68" t="s">
        <v>221</v>
      </c>
      <c r="T16" s="73"/>
    </row>
    <row r="17">
      <c r="A17" s="67" t="s">
        <v>133</v>
      </c>
      <c r="B17" s="67"/>
      <c r="C17" s="67"/>
      <c r="D17" s="68" t="s">
        <v>222</v>
      </c>
      <c r="E17" s="69">
        <v>2024.0</v>
      </c>
      <c r="F17" s="68" t="s">
        <v>223</v>
      </c>
      <c r="G17" s="68" t="s">
        <v>224</v>
      </c>
      <c r="H17" s="70"/>
      <c r="I17" s="70"/>
      <c r="J17" s="70"/>
      <c r="K17" s="69">
        <v>1.0</v>
      </c>
      <c r="L17" s="69">
        <v>369.0</v>
      </c>
      <c r="M17" s="69">
        <v>2.0</v>
      </c>
      <c r="N17" s="68" t="s">
        <v>225</v>
      </c>
      <c r="O17" s="71" t="s">
        <v>226</v>
      </c>
      <c r="P17" s="74"/>
      <c r="Q17" s="68" t="s">
        <v>139</v>
      </c>
      <c r="R17" s="70"/>
      <c r="S17" s="68" t="s">
        <v>227</v>
      </c>
      <c r="T17" s="73"/>
    </row>
    <row r="18">
      <c r="A18" s="67" t="s">
        <v>124</v>
      </c>
      <c r="B18" s="67"/>
      <c r="C18" s="67"/>
      <c r="D18" s="68" t="s">
        <v>228</v>
      </c>
      <c r="E18" s="69">
        <v>2022.0</v>
      </c>
      <c r="F18" s="68" t="s">
        <v>229</v>
      </c>
      <c r="G18" s="68" t="s">
        <v>230</v>
      </c>
      <c r="H18" s="70"/>
      <c r="I18" s="70"/>
      <c r="J18" s="70"/>
      <c r="K18" s="70"/>
      <c r="L18" s="70"/>
      <c r="M18" s="69">
        <v>3.0</v>
      </c>
      <c r="N18" s="70"/>
      <c r="O18" s="71" t="s">
        <v>231</v>
      </c>
      <c r="P18" s="74"/>
      <c r="Q18" s="68" t="s">
        <v>19</v>
      </c>
      <c r="R18" s="70"/>
      <c r="S18" s="68" t="s">
        <v>232</v>
      </c>
      <c r="T18" s="73"/>
    </row>
    <row r="19">
      <c r="A19" s="67" t="s">
        <v>124</v>
      </c>
      <c r="B19" s="67"/>
      <c r="C19" s="67"/>
      <c r="D19" s="68" t="s">
        <v>233</v>
      </c>
      <c r="E19" s="69">
        <v>2022.0</v>
      </c>
      <c r="F19" s="68" t="s">
        <v>234</v>
      </c>
      <c r="G19" s="68" t="s">
        <v>235</v>
      </c>
      <c r="H19" s="69">
        <v>15.0</v>
      </c>
      <c r="I19" s="69">
        <v>6.0</v>
      </c>
      <c r="J19" s="70"/>
      <c r="K19" s="69">
        <v>993.0</v>
      </c>
      <c r="L19" s="69">
        <v>1006.0</v>
      </c>
      <c r="M19" s="69">
        <v>61.0</v>
      </c>
      <c r="N19" s="68" t="s">
        <v>236</v>
      </c>
      <c r="O19" s="71" t="s">
        <v>237</v>
      </c>
      <c r="P19" s="72"/>
      <c r="Q19" s="68" t="s">
        <v>130</v>
      </c>
      <c r="R19" s="68" t="s">
        <v>238</v>
      </c>
      <c r="S19" s="68" t="s">
        <v>239</v>
      </c>
    </row>
    <row r="20">
      <c r="A20" s="67" t="s">
        <v>133</v>
      </c>
      <c r="B20" s="67"/>
      <c r="C20" s="67"/>
      <c r="D20" s="68" t="s">
        <v>240</v>
      </c>
      <c r="E20" s="69">
        <v>2025.0</v>
      </c>
      <c r="F20" s="68" t="s">
        <v>241</v>
      </c>
      <c r="G20" s="68" t="s">
        <v>242</v>
      </c>
      <c r="H20" s="70"/>
      <c r="I20" s="70"/>
      <c r="J20" s="70"/>
      <c r="K20" s="69">
        <v>1.0</v>
      </c>
      <c r="L20" s="69">
        <v>424.0</v>
      </c>
      <c r="M20" s="69">
        <v>0.0</v>
      </c>
      <c r="N20" s="68" t="s">
        <v>243</v>
      </c>
      <c r="O20" s="71" t="s">
        <v>244</v>
      </c>
      <c r="P20" s="72"/>
      <c r="Q20" s="68" t="s">
        <v>139</v>
      </c>
      <c r="R20" s="70"/>
      <c r="S20" s="68" t="s">
        <v>245</v>
      </c>
      <c r="T20" s="73"/>
    </row>
    <row r="21">
      <c r="A21" s="67" t="s">
        <v>124</v>
      </c>
      <c r="B21" s="67"/>
      <c r="C21" s="67"/>
      <c r="D21" s="68" t="s">
        <v>246</v>
      </c>
      <c r="E21" s="69">
        <v>2020.0</v>
      </c>
      <c r="F21" s="68" t="s">
        <v>247</v>
      </c>
      <c r="G21" s="68" t="s">
        <v>248</v>
      </c>
      <c r="H21" s="69">
        <v>38.0</v>
      </c>
      <c r="I21" s="69">
        <v>4.0</v>
      </c>
      <c r="J21" s="70"/>
      <c r="K21" s="69">
        <v>450.0</v>
      </c>
      <c r="L21" s="69">
        <v>463.0</v>
      </c>
      <c r="M21" s="69">
        <v>17.0</v>
      </c>
      <c r="N21" s="68" t="s">
        <v>249</v>
      </c>
      <c r="O21" s="71" t="s">
        <v>250</v>
      </c>
      <c r="P21" s="72"/>
      <c r="Q21" s="68" t="s">
        <v>130</v>
      </c>
      <c r="R21" s="70"/>
      <c r="S21" s="68" t="s">
        <v>251</v>
      </c>
    </row>
    <row r="22">
      <c r="A22" s="67" t="s">
        <v>162</v>
      </c>
      <c r="B22" s="67"/>
      <c r="C22" s="67"/>
      <c r="D22" s="68" t="s">
        <v>252</v>
      </c>
      <c r="E22" s="69">
        <v>2024.0</v>
      </c>
      <c r="F22" s="68" t="s">
        <v>253</v>
      </c>
      <c r="G22" s="68" t="s">
        <v>254</v>
      </c>
      <c r="H22" s="69">
        <v>14.0</v>
      </c>
      <c r="I22" s="69">
        <v>6.0</v>
      </c>
      <c r="J22" s="69">
        <v>617.0</v>
      </c>
      <c r="K22" s="70"/>
      <c r="L22" s="70"/>
      <c r="M22" s="69">
        <v>72.0</v>
      </c>
      <c r="N22" s="68" t="s">
        <v>255</v>
      </c>
      <c r="O22" s="71" t="s">
        <v>256</v>
      </c>
      <c r="P22" s="74"/>
      <c r="Q22" s="68" t="s">
        <v>152</v>
      </c>
      <c r="R22" s="68" t="s">
        <v>131</v>
      </c>
      <c r="S22" s="68" t="s">
        <v>257</v>
      </c>
      <c r="T22" s="73"/>
    </row>
    <row r="23">
      <c r="A23" s="67" t="s">
        <v>154</v>
      </c>
      <c r="B23" s="67" t="s">
        <v>154</v>
      </c>
      <c r="C23" s="67"/>
      <c r="D23" s="68" t="s">
        <v>258</v>
      </c>
      <c r="E23" s="69">
        <v>2022.0</v>
      </c>
      <c r="F23" s="68" t="s">
        <v>259</v>
      </c>
      <c r="G23" s="68" t="s">
        <v>260</v>
      </c>
      <c r="H23" s="70"/>
      <c r="I23" s="70"/>
      <c r="J23" s="69">
        <v>8.0</v>
      </c>
      <c r="K23" s="70"/>
      <c r="L23" s="70"/>
      <c r="M23" s="69">
        <v>4.0</v>
      </c>
      <c r="N23" s="68" t="s">
        <v>261</v>
      </c>
      <c r="O23" s="71" t="s">
        <v>262</v>
      </c>
      <c r="P23" s="72"/>
      <c r="Q23" s="68" t="s">
        <v>19</v>
      </c>
      <c r="R23" s="70"/>
      <c r="S23" s="68" t="s">
        <v>263</v>
      </c>
    </row>
    <row r="24">
      <c r="A24" s="67" t="s">
        <v>124</v>
      </c>
      <c r="B24" s="67"/>
      <c r="C24" s="67"/>
      <c r="D24" s="68" t="s">
        <v>264</v>
      </c>
      <c r="E24" s="69">
        <v>2020.0</v>
      </c>
      <c r="F24" s="68" t="s">
        <v>265</v>
      </c>
      <c r="G24" s="68" t="s">
        <v>266</v>
      </c>
      <c r="H24" s="70"/>
      <c r="I24" s="70"/>
      <c r="J24" s="70"/>
      <c r="K24" s="69">
        <v>459.0</v>
      </c>
      <c r="L24" s="69">
        <v>471.0</v>
      </c>
      <c r="M24" s="69">
        <v>24.0</v>
      </c>
      <c r="N24" s="68" t="s">
        <v>267</v>
      </c>
      <c r="O24" s="71" t="s">
        <v>268</v>
      </c>
      <c r="P24" s="72"/>
      <c r="Q24" s="68" t="s">
        <v>190</v>
      </c>
      <c r="R24" s="70"/>
      <c r="S24" s="68" t="s">
        <v>269</v>
      </c>
    </row>
    <row r="25">
      <c r="A25" s="67" t="s">
        <v>133</v>
      </c>
      <c r="B25" s="67"/>
      <c r="C25" s="67"/>
      <c r="D25" s="68" t="s">
        <v>270</v>
      </c>
      <c r="E25" s="69">
        <v>2023.0</v>
      </c>
      <c r="F25" s="68" t="s">
        <v>271</v>
      </c>
      <c r="G25" s="68" t="s">
        <v>272</v>
      </c>
      <c r="H25" s="70"/>
      <c r="I25" s="70"/>
      <c r="J25" s="70"/>
      <c r="K25" s="69">
        <v>1.0</v>
      </c>
      <c r="L25" s="69">
        <v>285.0</v>
      </c>
      <c r="M25" s="69">
        <v>3.0</v>
      </c>
      <c r="N25" s="68" t="s">
        <v>273</v>
      </c>
      <c r="O25" s="71" t="s">
        <v>274</v>
      </c>
      <c r="P25" s="72"/>
      <c r="Q25" s="68" t="s">
        <v>139</v>
      </c>
      <c r="R25" s="70"/>
      <c r="S25" s="68" t="s">
        <v>275</v>
      </c>
    </row>
    <row r="26">
      <c r="A26" s="67" t="s">
        <v>133</v>
      </c>
      <c r="B26" s="67"/>
      <c r="C26" s="67"/>
      <c r="D26" s="68" t="s">
        <v>276</v>
      </c>
      <c r="E26" s="69">
        <v>2025.0</v>
      </c>
      <c r="F26" s="68" t="s">
        <v>277</v>
      </c>
      <c r="G26" s="68" t="s">
        <v>278</v>
      </c>
      <c r="H26" s="70"/>
      <c r="I26" s="70"/>
      <c r="J26" s="70"/>
      <c r="K26" s="70"/>
      <c r="L26" s="70"/>
      <c r="M26" s="69">
        <v>0.0</v>
      </c>
      <c r="N26" s="68" t="s">
        <v>279</v>
      </c>
      <c r="O26" s="71" t="s">
        <v>280</v>
      </c>
      <c r="P26" s="74"/>
      <c r="Q26" s="68" t="s">
        <v>130</v>
      </c>
      <c r="R26" s="70"/>
      <c r="S26" s="68" t="s">
        <v>281</v>
      </c>
      <c r="T26" s="73"/>
    </row>
    <row r="27">
      <c r="A27" s="67" t="s">
        <v>124</v>
      </c>
      <c r="B27" s="67"/>
      <c r="C27" s="67"/>
      <c r="D27" s="68" t="s">
        <v>282</v>
      </c>
      <c r="E27" s="69">
        <v>2023.0</v>
      </c>
      <c r="F27" s="68" t="s">
        <v>283</v>
      </c>
      <c r="G27" s="68" t="s">
        <v>284</v>
      </c>
      <c r="H27" s="70"/>
      <c r="I27" s="70"/>
      <c r="J27" s="70"/>
      <c r="K27" s="69">
        <v>1.0</v>
      </c>
      <c r="L27" s="69">
        <v>683.0</v>
      </c>
      <c r="M27" s="69">
        <v>17.0</v>
      </c>
      <c r="N27" s="68" t="s">
        <v>285</v>
      </c>
      <c r="O27" s="71" t="s">
        <v>286</v>
      </c>
      <c r="P27" s="72"/>
      <c r="Q27" s="68" t="s">
        <v>139</v>
      </c>
      <c r="R27" s="70"/>
      <c r="S27" s="68" t="s">
        <v>287</v>
      </c>
      <c r="T27" s="73"/>
    </row>
    <row r="28">
      <c r="A28" s="67" t="s">
        <v>124</v>
      </c>
      <c r="B28" s="67"/>
      <c r="C28" s="67"/>
      <c r="D28" s="68" t="s">
        <v>288</v>
      </c>
      <c r="E28" s="69">
        <v>2021.0</v>
      </c>
      <c r="F28" s="68" t="s">
        <v>289</v>
      </c>
      <c r="G28" s="68" t="s">
        <v>290</v>
      </c>
      <c r="H28" s="69">
        <v>62.0</v>
      </c>
      <c r="I28" s="70"/>
      <c r="J28" s="70"/>
      <c r="K28" s="69">
        <v>253.0</v>
      </c>
      <c r="L28" s="69">
        <v>257.0</v>
      </c>
      <c r="M28" s="69">
        <v>18.0</v>
      </c>
      <c r="N28" s="68" t="s">
        <v>291</v>
      </c>
      <c r="O28" s="71" t="s">
        <v>292</v>
      </c>
      <c r="P28" s="72"/>
      <c r="Q28" s="68" t="s">
        <v>152</v>
      </c>
      <c r="R28" s="68" t="s">
        <v>131</v>
      </c>
      <c r="S28" s="68" t="s">
        <v>293</v>
      </c>
      <c r="T28" s="73"/>
    </row>
    <row r="29">
      <c r="A29" s="67" t="s">
        <v>124</v>
      </c>
      <c r="B29" s="67"/>
      <c r="C29" s="67"/>
      <c r="D29" s="68" t="s">
        <v>294</v>
      </c>
      <c r="E29" s="69">
        <v>2025.0</v>
      </c>
      <c r="F29" s="68" t="s">
        <v>295</v>
      </c>
      <c r="G29" s="68" t="s">
        <v>296</v>
      </c>
      <c r="H29" s="70"/>
      <c r="I29" s="70"/>
      <c r="J29" s="70"/>
      <c r="K29" s="69">
        <v>124.0</v>
      </c>
      <c r="L29" s="69">
        <v>174.0</v>
      </c>
      <c r="M29" s="69">
        <v>5.0</v>
      </c>
      <c r="N29" s="68" t="s">
        <v>297</v>
      </c>
      <c r="O29" s="71" t="s">
        <v>298</v>
      </c>
      <c r="P29" s="72"/>
      <c r="Q29" s="68" t="s">
        <v>19</v>
      </c>
      <c r="R29" s="70"/>
      <c r="S29" s="68" t="s">
        <v>299</v>
      </c>
    </row>
    <row r="30">
      <c r="A30" s="67" t="s">
        <v>124</v>
      </c>
      <c r="B30" s="67"/>
      <c r="C30" s="67"/>
      <c r="D30" s="68" t="s">
        <v>300</v>
      </c>
      <c r="E30" s="69">
        <v>2020.0</v>
      </c>
      <c r="F30" s="68" t="s">
        <v>301</v>
      </c>
      <c r="G30" s="68" t="s">
        <v>302</v>
      </c>
      <c r="H30" s="69">
        <v>55.0</v>
      </c>
      <c r="I30" s="70"/>
      <c r="J30" s="70"/>
      <c r="K30" s="69">
        <v>334.0</v>
      </c>
      <c r="L30" s="69">
        <v>337.0</v>
      </c>
      <c r="M30" s="69">
        <v>5.0</v>
      </c>
      <c r="N30" s="68" t="s">
        <v>303</v>
      </c>
      <c r="O30" s="71" t="s">
        <v>304</v>
      </c>
      <c r="P30" s="72"/>
      <c r="Q30" s="68" t="s">
        <v>305</v>
      </c>
      <c r="R30" s="68" t="s">
        <v>131</v>
      </c>
      <c r="S30" s="68" t="s">
        <v>306</v>
      </c>
    </row>
    <row r="31">
      <c r="A31" s="67" t="s">
        <v>124</v>
      </c>
      <c r="B31" s="67"/>
      <c r="C31" s="67"/>
      <c r="D31" s="68" t="s">
        <v>307</v>
      </c>
      <c r="E31" s="69">
        <v>2020.0</v>
      </c>
      <c r="F31" s="68" t="s">
        <v>308</v>
      </c>
      <c r="G31" s="68" t="s">
        <v>309</v>
      </c>
      <c r="H31" s="69">
        <v>11.0</v>
      </c>
      <c r="I31" s="69">
        <v>3.0</v>
      </c>
      <c r="J31" s="70"/>
      <c r="K31" s="69">
        <v>316.0</v>
      </c>
      <c r="L31" s="69">
        <v>330.0</v>
      </c>
      <c r="M31" s="69">
        <v>155.0</v>
      </c>
      <c r="N31" s="68" t="s">
        <v>310</v>
      </c>
      <c r="O31" s="71" t="s">
        <v>311</v>
      </c>
      <c r="P31" s="74"/>
      <c r="Q31" s="68" t="s">
        <v>152</v>
      </c>
      <c r="R31" s="70"/>
      <c r="S31" s="68" t="s">
        <v>312</v>
      </c>
      <c r="T31" s="73"/>
    </row>
    <row r="32">
      <c r="A32" s="67" t="s">
        <v>133</v>
      </c>
      <c r="B32" s="67"/>
      <c r="C32" s="67"/>
      <c r="D32" s="68" t="s">
        <v>313</v>
      </c>
      <c r="E32" s="69">
        <v>2024.0</v>
      </c>
      <c r="F32" s="68" t="s">
        <v>314</v>
      </c>
      <c r="G32" s="68" t="s">
        <v>315</v>
      </c>
      <c r="H32" s="70"/>
      <c r="I32" s="70"/>
      <c r="J32" s="70"/>
      <c r="K32" s="69">
        <v>1.0</v>
      </c>
      <c r="L32" s="69">
        <v>409.0</v>
      </c>
      <c r="M32" s="69">
        <v>1.0</v>
      </c>
      <c r="N32" s="68" t="s">
        <v>316</v>
      </c>
      <c r="O32" s="71" t="s">
        <v>317</v>
      </c>
      <c r="P32" s="74"/>
      <c r="Q32" s="68" t="s">
        <v>139</v>
      </c>
      <c r="R32" s="70"/>
      <c r="S32" s="68" t="s">
        <v>318</v>
      </c>
      <c r="T32" s="73"/>
    </row>
    <row r="33">
      <c r="A33" s="67" t="s">
        <v>133</v>
      </c>
      <c r="B33" s="67"/>
      <c r="C33" s="67"/>
      <c r="D33" s="68" t="s">
        <v>319</v>
      </c>
      <c r="E33" s="69">
        <v>2022.0</v>
      </c>
      <c r="F33" s="68" t="s">
        <v>320</v>
      </c>
      <c r="G33" s="68" t="s">
        <v>321</v>
      </c>
      <c r="H33" s="70"/>
      <c r="I33" s="70"/>
      <c r="J33" s="70"/>
      <c r="K33" s="69">
        <v>1.0</v>
      </c>
      <c r="L33" s="69">
        <v>537.0</v>
      </c>
      <c r="M33" s="69">
        <v>10.0</v>
      </c>
      <c r="N33" s="68" t="s">
        <v>322</v>
      </c>
      <c r="O33" s="71" t="s">
        <v>323</v>
      </c>
      <c r="P33" s="72"/>
      <c r="Q33" s="68" t="s">
        <v>139</v>
      </c>
      <c r="R33" s="70"/>
      <c r="S33" s="68" t="s">
        <v>324</v>
      </c>
    </row>
    <row r="34">
      <c r="A34" s="67" t="s">
        <v>124</v>
      </c>
      <c r="B34" s="67"/>
      <c r="C34" s="67"/>
      <c r="D34" s="68" t="s">
        <v>325</v>
      </c>
      <c r="E34" s="69">
        <v>2026.0</v>
      </c>
      <c r="F34" s="68" t="s">
        <v>326</v>
      </c>
      <c r="G34" s="68" t="s">
        <v>327</v>
      </c>
      <c r="H34" s="69">
        <v>51.0</v>
      </c>
      <c r="I34" s="69">
        <v>1.0</v>
      </c>
      <c r="J34" s="70"/>
      <c r="K34" s="69">
        <v>172.0</v>
      </c>
      <c r="L34" s="69">
        <v>191.0</v>
      </c>
      <c r="M34" s="69">
        <v>0.0</v>
      </c>
      <c r="N34" s="68" t="s">
        <v>328</v>
      </c>
      <c r="O34" s="71" t="s">
        <v>329</v>
      </c>
      <c r="P34" s="74"/>
      <c r="Q34" s="68" t="s">
        <v>130</v>
      </c>
      <c r="R34" s="68" t="s">
        <v>238</v>
      </c>
      <c r="S34" s="68" t="s">
        <v>330</v>
      </c>
      <c r="T34" s="73"/>
    </row>
    <row r="35">
      <c r="A35" s="67" t="s">
        <v>154</v>
      </c>
      <c r="B35" s="67" t="s">
        <v>175</v>
      </c>
      <c r="C35" s="67"/>
      <c r="D35" s="68" t="s">
        <v>31</v>
      </c>
      <c r="E35" s="69">
        <v>2021.0</v>
      </c>
      <c r="F35" s="68" t="s">
        <v>331</v>
      </c>
      <c r="G35" s="68" t="s">
        <v>32</v>
      </c>
      <c r="H35" s="69">
        <v>19.0</v>
      </c>
      <c r="I35" s="69">
        <v>3.0</v>
      </c>
      <c r="J35" s="69">
        <v>100550.0</v>
      </c>
      <c r="K35" s="70"/>
      <c r="L35" s="70"/>
      <c r="M35" s="69">
        <v>109.0</v>
      </c>
      <c r="N35" s="68" t="s">
        <v>332</v>
      </c>
      <c r="O35" s="71" t="s">
        <v>33</v>
      </c>
      <c r="P35" s="72"/>
      <c r="Q35" s="68" t="s">
        <v>130</v>
      </c>
      <c r="R35" s="70"/>
      <c r="S35" s="68" t="s">
        <v>333</v>
      </c>
    </row>
    <row r="36">
      <c r="A36" s="67" t="s">
        <v>124</v>
      </c>
      <c r="B36" s="67"/>
      <c r="C36" s="67"/>
      <c r="D36" s="68" t="s">
        <v>334</v>
      </c>
      <c r="E36" s="69">
        <v>2025.0</v>
      </c>
      <c r="F36" s="68" t="s">
        <v>335</v>
      </c>
      <c r="G36" s="68" t="s">
        <v>336</v>
      </c>
      <c r="H36" s="69">
        <v>16.0</v>
      </c>
      <c r="I36" s="69">
        <v>1.0</v>
      </c>
      <c r="J36" s="70"/>
      <c r="K36" s="69">
        <v>121.0</v>
      </c>
      <c r="L36" s="69">
        <v>142.0</v>
      </c>
      <c r="M36" s="69">
        <v>4.0</v>
      </c>
      <c r="N36" s="68" t="s">
        <v>337</v>
      </c>
      <c r="O36" s="71" t="s">
        <v>338</v>
      </c>
      <c r="P36" s="75"/>
      <c r="Q36" s="68" t="s">
        <v>130</v>
      </c>
      <c r="R36" s="70"/>
      <c r="S36" s="68" t="s">
        <v>339</v>
      </c>
      <c r="T36" s="73"/>
    </row>
    <row r="37">
      <c r="A37" s="67" t="s">
        <v>124</v>
      </c>
      <c r="B37" s="67"/>
      <c r="C37" s="67"/>
      <c r="D37" s="68" t="s">
        <v>340</v>
      </c>
      <c r="E37" s="69">
        <v>2024.0</v>
      </c>
      <c r="F37" s="68" t="s">
        <v>341</v>
      </c>
      <c r="G37" s="68" t="s">
        <v>342</v>
      </c>
      <c r="H37" s="70"/>
      <c r="I37" s="70"/>
      <c r="J37" s="70"/>
      <c r="K37" s="70"/>
      <c r="L37" s="70"/>
      <c r="M37" s="69">
        <v>6.0</v>
      </c>
      <c r="N37" s="68" t="s">
        <v>343</v>
      </c>
      <c r="O37" s="71" t="s">
        <v>344</v>
      </c>
      <c r="P37" s="72"/>
      <c r="Q37" s="68" t="s">
        <v>19</v>
      </c>
      <c r="R37" s="70"/>
      <c r="S37" s="68" t="s">
        <v>345</v>
      </c>
      <c r="T37" s="73"/>
    </row>
    <row r="38">
      <c r="A38" s="67" t="s">
        <v>133</v>
      </c>
      <c r="B38" s="67"/>
      <c r="C38" s="67"/>
      <c r="D38" s="68" t="s">
        <v>346</v>
      </c>
      <c r="E38" s="69">
        <v>2025.0</v>
      </c>
      <c r="F38" s="68" t="s">
        <v>347</v>
      </c>
      <c r="G38" s="68" t="s">
        <v>348</v>
      </c>
      <c r="H38" s="70"/>
      <c r="I38" s="70"/>
      <c r="J38" s="70"/>
      <c r="K38" s="69">
        <v>1.0</v>
      </c>
      <c r="L38" s="69">
        <v>317.0</v>
      </c>
      <c r="M38" s="69">
        <v>0.0</v>
      </c>
      <c r="N38" s="68" t="s">
        <v>349</v>
      </c>
      <c r="O38" s="71" t="s">
        <v>350</v>
      </c>
      <c r="P38" s="72"/>
      <c r="Q38" s="68" t="s">
        <v>139</v>
      </c>
      <c r="R38" s="70"/>
      <c r="S38" s="68" t="s">
        <v>351</v>
      </c>
    </row>
    <row r="39">
      <c r="A39" s="67" t="s">
        <v>124</v>
      </c>
      <c r="B39" s="67"/>
      <c r="C39" s="67"/>
      <c r="D39" s="68" t="s">
        <v>352</v>
      </c>
      <c r="E39" s="69">
        <v>2023.0</v>
      </c>
      <c r="F39" s="68" t="s">
        <v>353</v>
      </c>
      <c r="G39" s="68" t="s">
        <v>354</v>
      </c>
      <c r="H39" s="70"/>
      <c r="I39" s="70"/>
      <c r="J39" s="70"/>
      <c r="K39" s="70"/>
      <c r="L39" s="70"/>
      <c r="M39" s="69">
        <v>2.0</v>
      </c>
      <c r="N39" s="68" t="s">
        <v>355</v>
      </c>
      <c r="O39" s="71" t="s">
        <v>356</v>
      </c>
      <c r="P39" s="72"/>
      <c r="Q39" s="68" t="s">
        <v>19</v>
      </c>
      <c r="R39" s="70"/>
      <c r="S39" s="68" t="s">
        <v>357</v>
      </c>
      <c r="T39" s="73"/>
    </row>
    <row r="40">
      <c r="A40" s="67" t="s">
        <v>124</v>
      </c>
      <c r="B40" s="67"/>
      <c r="C40" s="67"/>
      <c r="D40" s="68" t="s">
        <v>358</v>
      </c>
      <c r="E40" s="69">
        <v>2022.0</v>
      </c>
      <c r="F40" s="68" t="s">
        <v>359</v>
      </c>
      <c r="G40" s="68" t="s">
        <v>360</v>
      </c>
      <c r="H40" s="69">
        <v>49.0</v>
      </c>
      <c r="I40" s="69">
        <v>11.0</v>
      </c>
      <c r="J40" s="69">
        <v>110502.0</v>
      </c>
      <c r="K40" s="70"/>
      <c r="L40" s="70"/>
      <c r="M40" s="69">
        <v>36.0</v>
      </c>
      <c r="N40" s="68" t="s">
        <v>361</v>
      </c>
      <c r="O40" s="71" t="s">
        <v>362</v>
      </c>
      <c r="P40" s="72"/>
      <c r="Q40" s="68" t="s">
        <v>130</v>
      </c>
      <c r="R40" s="68" t="s">
        <v>238</v>
      </c>
      <c r="S40" s="68" t="s">
        <v>363</v>
      </c>
      <c r="T40" s="73"/>
    </row>
    <row r="41">
      <c r="A41" s="67" t="s">
        <v>124</v>
      </c>
      <c r="B41" s="67"/>
      <c r="C41" s="67"/>
      <c r="D41" s="68" t="s">
        <v>364</v>
      </c>
      <c r="E41" s="69">
        <v>2020.0</v>
      </c>
      <c r="F41" s="68" t="s">
        <v>365</v>
      </c>
      <c r="G41" s="68" t="s">
        <v>366</v>
      </c>
      <c r="H41" s="68" t="s">
        <v>177</v>
      </c>
      <c r="I41" s="70"/>
      <c r="J41" s="69">
        <v>1083.0</v>
      </c>
      <c r="K41" s="70"/>
      <c r="L41" s="70"/>
      <c r="M41" s="69">
        <v>6.0</v>
      </c>
      <c r="N41" s="70"/>
      <c r="O41" s="71" t="s">
        <v>367</v>
      </c>
      <c r="P41" s="72"/>
      <c r="Q41" s="68" t="s">
        <v>19</v>
      </c>
      <c r="R41" s="70"/>
      <c r="S41" s="68" t="s">
        <v>368</v>
      </c>
    </row>
    <row r="42">
      <c r="A42" s="67" t="s">
        <v>124</v>
      </c>
      <c r="B42" s="67"/>
      <c r="C42" s="67"/>
      <c r="D42" s="68" t="s">
        <v>369</v>
      </c>
      <c r="E42" s="69">
        <v>2023.0</v>
      </c>
      <c r="F42" s="68" t="s">
        <v>370</v>
      </c>
      <c r="G42" s="68" t="s">
        <v>371</v>
      </c>
      <c r="H42" s="70"/>
      <c r="I42" s="70"/>
      <c r="J42" s="70"/>
      <c r="K42" s="70"/>
      <c r="L42" s="70"/>
      <c r="M42" s="69">
        <v>0.0</v>
      </c>
      <c r="N42" s="70"/>
      <c r="O42" s="71" t="s">
        <v>372</v>
      </c>
      <c r="P42" s="72"/>
      <c r="Q42" s="68" t="s">
        <v>19</v>
      </c>
      <c r="R42" s="70"/>
      <c r="S42" s="68" t="s">
        <v>373</v>
      </c>
    </row>
    <row r="43">
      <c r="A43" s="67" t="s">
        <v>124</v>
      </c>
      <c r="B43" s="67"/>
      <c r="C43" s="67"/>
      <c r="D43" s="68" t="s">
        <v>374</v>
      </c>
      <c r="E43" s="69">
        <v>2025.0</v>
      </c>
      <c r="F43" s="68" t="s">
        <v>375</v>
      </c>
      <c r="G43" s="68" t="s">
        <v>376</v>
      </c>
      <c r="H43" s="70"/>
      <c r="I43" s="70"/>
      <c r="J43" s="70"/>
      <c r="K43" s="69">
        <v>415.0</v>
      </c>
      <c r="L43" s="69">
        <v>440.0</v>
      </c>
      <c r="M43" s="69">
        <v>0.0</v>
      </c>
      <c r="N43" s="68" t="s">
        <v>377</v>
      </c>
      <c r="O43" s="71" t="s">
        <v>378</v>
      </c>
      <c r="P43" s="72"/>
      <c r="Q43" s="68" t="s">
        <v>190</v>
      </c>
      <c r="R43" s="68" t="s">
        <v>379</v>
      </c>
      <c r="S43" s="68" t="s">
        <v>380</v>
      </c>
    </row>
    <row r="44">
      <c r="A44" s="67" t="s">
        <v>124</v>
      </c>
      <c r="B44" s="67"/>
      <c r="C44" s="67"/>
      <c r="D44" s="68" t="s">
        <v>381</v>
      </c>
      <c r="E44" s="69">
        <v>2023.0</v>
      </c>
      <c r="F44" s="68" t="s">
        <v>382</v>
      </c>
      <c r="G44" s="68" t="s">
        <v>383</v>
      </c>
      <c r="H44" s="69">
        <v>2.0</v>
      </c>
      <c r="I44" s="69">
        <v>1.0</v>
      </c>
      <c r="J44" s="70"/>
      <c r="K44" s="69">
        <v>75.0</v>
      </c>
      <c r="L44" s="69">
        <v>89.0</v>
      </c>
      <c r="M44" s="69">
        <v>8.0</v>
      </c>
      <c r="N44" s="68" t="s">
        <v>384</v>
      </c>
      <c r="O44" s="71" t="s">
        <v>385</v>
      </c>
      <c r="P44" s="72"/>
      <c r="Q44" s="68" t="s">
        <v>130</v>
      </c>
      <c r="R44" s="68" t="s">
        <v>131</v>
      </c>
      <c r="S44" s="68" t="s">
        <v>386</v>
      </c>
      <c r="T44" s="73"/>
    </row>
    <row r="45">
      <c r="A45" s="67" t="s">
        <v>124</v>
      </c>
      <c r="B45" s="67"/>
      <c r="C45" s="67"/>
      <c r="D45" s="68" t="s">
        <v>387</v>
      </c>
      <c r="E45" s="69">
        <v>2023.0</v>
      </c>
      <c r="F45" s="68" t="s">
        <v>388</v>
      </c>
      <c r="G45" s="68" t="s">
        <v>389</v>
      </c>
      <c r="H45" s="70"/>
      <c r="I45" s="70"/>
      <c r="J45" s="70"/>
      <c r="K45" s="69">
        <v>1.0</v>
      </c>
      <c r="L45" s="69">
        <v>209.0</v>
      </c>
      <c r="M45" s="69">
        <v>0.0</v>
      </c>
      <c r="N45" s="68" t="s">
        <v>390</v>
      </c>
      <c r="O45" s="71" t="s">
        <v>391</v>
      </c>
      <c r="P45" s="72"/>
      <c r="Q45" s="68" t="s">
        <v>139</v>
      </c>
      <c r="R45" s="70"/>
      <c r="S45" s="68" t="s">
        <v>392</v>
      </c>
      <c r="T45" s="73"/>
    </row>
    <row r="46">
      <c r="A46" s="67" t="s">
        <v>124</v>
      </c>
      <c r="B46" s="67"/>
      <c r="C46" s="67"/>
      <c r="D46" s="68" t="s">
        <v>393</v>
      </c>
      <c r="E46" s="69">
        <v>2025.0</v>
      </c>
      <c r="F46" s="68" t="s">
        <v>394</v>
      </c>
      <c r="G46" s="68" t="s">
        <v>395</v>
      </c>
      <c r="H46" s="70"/>
      <c r="I46" s="70"/>
      <c r="J46" s="70"/>
      <c r="K46" s="69">
        <v>1.0</v>
      </c>
      <c r="L46" s="69">
        <v>422.0</v>
      </c>
      <c r="M46" s="69">
        <v>0.0</v>
      </c>
      <c r="N46" s="70"/>
      <c r="O46" s="71" t="s">
        <v>396</v>
      </c>
      <c r="P46" s="74"/>
      <c r="Q46" s="68" t="s">
        <v>139</v>
      </c>
      <c r="R46" s="70"/>
      <c r="S46" s="68" t="s">
        <v>397</v>
      </c>
      <c r="T46" s="73"/>
    </row>
    <row r="47">
      <c r="A47" s="67" t="s">
        <v>133</v>
      </c>
      <c r="B47" s="67"/>
      <c r="C47" s="67"/>
      <c r="D47" s="68" t="s">
        <v>398</v>
      </c>
      <c r="E47" s="69">
        <v>2023.0</v>
      </c>
      <c r="F47" s="68" t="s">
        <v>399</v>
      </c>
      <c r="G47" s="68" t="s">
        <v>400</v>
      </c>
      <c r="H47" s="70"/>
      <c r="I47" s="70"/>
      <c r="J47" s="70"/>
      <c r="K47" s="69">
        <v>1.0</v>
      </c>
      <c r="L47" s="69">
        <v>195.0</v>
      </c>
      <c r="M47" s="69">
        <v>10.0</v>
      </c>
      <c r="N47" s="68" t="s">
        <v>401</v>
      </c>
      <c r="O47" s="71" t="s">
        <v>402</v>
      </c>
      <c r="P47" s="74"/>
      <c r="Q47" s="68" t="s">
        <v>139</v>
      </c>
      <c r="R47" s="68" t="s">
        <v>379</v>
      </c>
      <c r="S47" s="68" t="s">
        <v>403</v>
      </c>
      <c r="T47" s="73"/>
    </row>
    <row r="48">
      <c r="A48" s="67" t="s">
        <v>124</v>
      </c>
      <c r="B48" s="67"/>
      <c r="C48" s="67"/>
      <c r="D48" s="68" t="s">
        <v>404</v>
      </c>
      <c r="E48" s="69">
        <v>2023.0</v>
      </c>
      <c r="F48" s="68" t="s">
        <v>405</v>
      </c>
      <c r="G48" s="68" t="s">
        <v>406</v>
      </c>
      <c r="H48" s="70"/>
      <c r="I48" s="70"/>
      <c r="J48" s="70"/>
      <c r="K48" s="69">
        <v>1.0</v>
      </c>
      <c r="L48" s="69">
        <v>639.0</v>
      </c>
      <c r="M48" s="69">
        <v>0.0</v>
      </c>
      <c r="N48" s="68" t="s">
        <v>407</v>
      </c>
      <c r="O48" s="71" t="s">
        <v>408</v>
      </c>
      <c r="P48" s="72"/>
      <c r="Q48" s="68" t="s">
        <v>139</v>
      </c>
      <c r="R48" s="70"/>
      <c r="S48" s="68" t="s">
        <v>409</v>
      </c>
      <c r="T48" s="73"/>
    </row>
    <row r="49">
      <c r="A49" s="67" t="s">
        <v>124</v>
      </c>
      <c r="B49" s="67"/>
      <c r="C49" s="67"/>
      <c r="D49" s="68" t="s">
        <v>410</v>
      </c>
      <c r="E49" s="69">
        <v>2022.0</v>
      </c>
      <c r="F49" s="68" t="s">
        <v>411</v>
      </c>
      <c r="G49" s="68" t="s">
        <v>412</v>
      </c>
      <c r="H49" s="70"/>
      <c r="I49" s="70"/>
      <c r="J49" s="70"/>
      <c r="K49" s="69">
        <v>1.0</v>
      </c>
      <c r="L49" s="69">
        <v>630.0</v>
      </c>
      <c r="M49" s="69">
        <v>29.0</v>
      </c>
      <c r="N49" s="68" t="s">
        <v>413</v>
      </c>
      <c r="O49" s="71" t="s">
        <v>414</v>
      </c>
      <c r="P49" s="72"/>
      <c r="Q49" s="68" t="s">
        <v>139</v>
      </c>
      <c r="R49" s="70"/>
      <c r="S49" s="68" t="s">
        <v>415</v>
      </c>
      <c r="T49" s="73"/>
    </row>
    <row r="50">
      <c r="A50" s="67" t="s">
        <v>124</v>
      </c>
      <c r="B50" s="67"/>
      <c r="C50" s="67"/>
      <c r="D50" s="68" t="s">
        <v>416</v>
      </c>
      <c r="E50" s="69">
        <v>2025.0</v>
      </c>
      <c r="F50" s="68" t="s">
        <v>417</v>
      </c>
      <c r="G50" s="68" t="s">
        <v>418</v>
      </c>
      <c r="H50" s="70"/>
      <c r="I50" s="70"/>
      <c r="J50" s="70"/>
      <c r="K50" s="69">
        <v>1.0</v>
      </c>
      <c r="L50" s="69">
        <v>264.0</v>
      </c>
      <c r="M50" s="69">
        <v>0.0</v>
      </c>
      <c r="N50" s="68" t="s">
        <v>419</v>
      </c>
      <c r="O50" s="71" t="s">
        <v>420</v>
      </c>
      <c r="P50" s="72"/>
      <c r="Q50" s="68" t="s">
        <v>139</v>
      </c>
      <c r="R50" s="70"/>
      <c r="S50" s="68" t="s">
        <v>421</v>
      </c>
      <c r="T50" s="73"/>
    </row>
    <row r="51">
      <c r="A51" s="67" t="s">
        <v>124</v>
      </c>
      <c r="B51" s="67"/>
      <c r="C51" s="67"/>
      <c r="D51" s="68" t="s">
        <v>422</v>
      </c>
      <c r="E51" s="69">
        <v>2025.0</v>
      </c>
      <c r="F51" s="68" t="s">
        <v>423</v>
      </c>
      <c r="G51" s="68" t="s">
        <v>424</v>
      </c>
      <c r="H51" s="69">
        <v>62.0</v>
      </c>
      <c r="I51" s="69">
        <v>9.0</v>
      </c>
      <c r="J51" s="70"/>
      <c r="K51" s="69">
        <v>2001.0</v>
      </c>
      <c r="L51" s="69">
        <v>2013.0</v>
      </c>
      <c r="M51" s="69">
        <v>0.0</v>
      </c>
      <c r="N51" s="68" t="s">
        <v>425</v>
      </c>
      <c r="O51" s="71" t="s">
        <v>426</v>
      </c>
      <c r="P51" s="72"/>
      <c r="Q51" s="68" t="s">
        <v>130</v>
      </c>
      <c r="R51" s="68" t="s">
        <v>427</v>
      </c>
      <c r="S51" s="68" t="s">
        <v>428</v>
      </c>
    </row>
    <row r="52">
      <c r="A52" s="67" t="s">
        <v>124</v>
      </c>
      <c r="B52" s="67"/>
      <c r="C52" s="67"/>
      <c r="D52" s="68" t="s">
        <v>429</v>
      </c>
      <c r="E52" s="69">
        <v>2026.0</v>
      </c>
      <c r="F52" s="68" t="s">
        <v>430</v>
      </c>
      <c r="G52" s="68" t="s">
        <v>431</v>
      </c>
      <c r="H52" s="70"/>
      <c r="I52" s="70"/>
      <c r="J52" s="70"/>
      <c r="K52" s="70"/>
      <c r="L52" s="70"/>
      <c r="M52" s="69">
        <v>0.0</v>
      </c>
      <c r="N52" s="68" t="s">
        <v>432</v>
      </c>
      <c r="O52" s="71" t="s">
        <v>433</v>
      </c>
      <c r="P52" s="72"/>
      <c r="Q52" s="68" t="s">
        <v>130</v>
      </c>
      <c r="R52" s="68" t="s">
        <v>238</v>
      </c>
      <c r="S52" s="68" t="s">
        <v>434</v>
      </c>
      <c r="T52" s="73"/>
    </row>
    <row r="53">
      <c r="A53" s="67" t="s">
        <v>124</v>
      </c>
      <c r="B53" s="67"/>
      <c r="C53" s="67"/>
      <c r="D53" s="68" t="s">
        <v>435</v>
      </c>
      <c r="E53" s="69">
        <v>2022.0</v>
      </c>
      <c r="F53" s="68" t="s">
        <v>436</v>
      </c>
      <c r="G53" s="68" t="s">
        <v>437</v>
      </c>
      <c r="H53" s="69">
        <v>47.0</v>
      </c>
      <c r="I53" s="69">
        <v>6.0</v>
      </c>
      <c r="J53" s="70"/>
      <c r="K53" s="69">
        <v>1356.0</v>
      </c>
      <c r="L53" s="69">
        <v>1379.0</v>
      </c>
      <c r="M53" s="69">
        <v>38.0</v>
      </c>
      <c r="N53" s="68" t="s">
        <v>438</v>
      </c>
      <c r="O53" s="71" t="s">
        <v>439</v>
      </c>
      <c r="P53" s="72"/>
      <c r="Q53" s="68" t="s">
        <v>152</v>
      </c>
      <c r="R53" s="70"/>
      <c r="S53" s="68" t="s">
        <v>440</v>
      </c>
      <c r="T53" s="73"/>
    </row>
    <row r="54">
      <c r="A54" s="67" t="s">
        <v>124</v>
      </c>
      <c r="B54" s="67"/>
      <c r="C54" s="67"/>
      <c r="D54" s="68" t="s">
        <v>441</v>
      </c>
      <c r="E54" s="69">
        <v>2021.0</v>
      </c>
      <c r="F54" s="68" t="s">
        <v>442</v>
      </c>
      <c r="G54" s="68" t="s">
        <v>443</v>
      </c>
      <c r="H54" s="70"/>
      <c r="I54" s="70"/>
      <c r="J54" s="70"/>
      <c r="K54" s="70"/>
      <c r="L54" s="70"/>
      <c r="M54" s="69">
        <v>1.0</v>
      </c>
      <c r="N54" s="68" t="s">
        <v>444</v>
      </c>
      <c r="O54" s="71" t="s">
        <v>445</v>
      </c>
      <c r="P54" s="74"/>
      <c r="Q54" s="68" t="s">
        <v>19</v>
      </c>
      <c r="R54" s="70"/>
      <c r="S54" s="68" t="s">
        <v>446</v>
      </c>
      <c r="T54" s="73"/>
    </row>
    <row r="55">
      <c r="A55" s="67" t="s">
        <v>124</v>
      </c>
      <c r="B55" s="67"/>
      <c r="C55" s="67"/>
      <c r="D55" s="68" t="s">
        <v>447</v>
      </c>
      <c r="E55" s="69">
        <v>2024.0</v>
      </c>
      <c r="F55" s="68" t="s">
        <v>448</v>
      </c>
      <c r="G55" s="68" t="s">
        <v>449</v>
      </c>
      <c r="H55" s="70"/>
      <c r="I55" s="70"/>
      <c r="J55" s="70"/>
      <c r="K55" s="70"/>
      <c r="L55" s="70"/>
      <c r="M55" s="69">
        <v>0.0</v>
      </c>
      <c r="N55" s="68" t="s">
        <v>450</v>
      </c>
      <c r="O55" s="71" t="s">
        <v>451</v>
      </c>
      <c r="P55" s="74"/>
      <c r="Q55" s="68" t="s">
        <v>19</v>
      </c>
      <c r="R55" s="70"/>
      <c r="S55" s="68" t="s">
        <v>452</v>
      </c>
      <c r="T55" s="73"/>
    </row>
    <row r="56">
      <c r="A56" s="67" t="s">
        <v>124</v>
      </c>
      <c r="B56" s="67"/>
      <c r="C56" s="67"/>
      <c r="D56" s="68" t="s">
        <v>453</v>
      </c>
      <c r="E56" s="69">
        <v>2022.0</v>
      </c>
      <c r="F56" s="68" t="s">
        <v>454</v>
      </c>
      <c r="G56" s="68" t="s">
        <v>455</v>
      </c>
      <c r="H56" s="70"/>
      <c r="I56" s="70"/>
      <c r="J56" s="70"/>
      <c r="K56" s="69">
        <v>1.0</v>
      </c>
      <c r="L56" s="69">
        <v>248.0</v>
      </c>
      <c r="M56" s="69">
        <v>4.0</v>
      </c>
      <c r="N56" s="68" t="s">
        <v>456</v>
      </c>
      <c r="O56" s="71" t="s">
        <v>457</v>
      </c>
      <c r="P56" s="74"/>
      <c r="Q56" s="68" t="s">
        <v>139</v>
      </c>
      <c r="R56" s="70"/>
      <c r="S56" s="68" t="s">
        <v>458</v>
      </c>
      <c r="T56" s="73"/>
    </row>
    <row r="57">
      <c r="A57" s="67" t="s">
        <v>124</v>
      </c>
      <c r="B57" s="67"/>
      <c r="C57" s="67"/>
      <c r="D57" s="68" t="s">
        <v>459</v>
      </c>
      <c r="E57" s="69">
        <v>2024.0</v>
      </c>
      <c r="F57" s="68" t="s">
        <v>460</v>
      </c>
      <c r="G57" s="68" t="s">
        <v>461</v>
      </c>
      <c r="H57" s="70"/>
      <c r="I57" s="70"/>
      <c r="J57" s="70"/>
      <c r="K57" s="70"/>
      <c r="L57" s="70"/>
      <c r="M57" s="69">
        <v>5.0</v>
      </c>
      <c r="N57" s="70"/>
      <c r="O57" s="71" t="s">
        <v>462</v>
      </c>
      <c r="P57" s="72"/>
      <c r="Q57" s="68" t="s">
        <v>19</v>
      </c>
      <c r="R57" s="70"/>
      <c r="S57" s="68" t="s">
        <v>463</v>
      </c>
    </row>
    <row r="58">
      <c r="A58" s="67" t="s">
        <v>124</v>
      </c>
      <c r="B58" s="67"/>
      <c r="C58" s="67"/>
      <c r="D58" s="68" t="s">
        <v>464</v>
      </c>
      <c r="E58" s="69">
        <v>2024.0</v>
      </c>
      <c r="F58" s="68" t="s">
        <v>465</v>
      </c>
      <c r="G58" s="68" t="s">
        <v>466</v>
      </c>
      <c r="H58" s="69">
        <v>364.0</v>
      </c>
      <c r="I58" s="70"/>
      <c r="J58" s="69">
        <v>121412.0</v>
      </c>
      <c r="K58" s="70"/>
      <c r="L58" s="70"/>
      <c r="M58" s="69">
        <v>5.0</v>
      </c>
      <c r="N58" s="68" t="s">
        <v>467</v>
      </c>
      <c r="O58" s="71" t="s">
        <v>468</v>
      </c>
      <c r="P58" s="72"/>
      <c r="Q58" s="68" t="s">
        <v>130</v>
      </c>
      <c r="R58" s="68" t="s">
        <v>427</v>
      </c>
      <c r="S58" s="68" t="s">
        <v>469</v>
      </c>
      <c r="T58" s="73"/>
    </row>
    <row r="59">
      <c r="A59" s="67" t="s">
        <v>124</v>
      </c>
      <c r="B59" s="67"/>
      <c r="C59" s="67"/>
      <c r="D59" s="68" t="s">
        <v>470</v>
      </c>
      <c r="E59" s="69">
        <v>2021.0</v>
      </c>
      <c r="F59" s="68" t="s">
        <v>471</v>
      </c>
      <c r="G59" s="68" t="s">
        <v>472</v>
      </c>
      <c r="H59" s="69">
        <v>11.0</v>
      </c>
      <c r="I59" s="69">
        <v>5.0</v>
      </c>
      <c r="J59" s="70"/>
      <c r="K59" s="69">
        <v>1192.0</v>
      </c>
      <c r="L59" s="69">
        <v>1209.0</v>
      </c>
      <c r="M59" s="69">
        <v>2.0</v>
      </c>
      <c r="N59" s="68" t="s">
        <v>473</v>
      </c>
      <c r="O59" s="71" t="s">
        <v>474</v>
      </c>
      <c r="P59" s="74"/>
      <c r="Q59" s="68" t="s">
        <v>130</v>
      </c>
      <c r="R59" s="68" t="s">
        <v>160</v>
      </c>
      <c r="S59" s="68" t="s">
        <v>475</v>
      </c>
      <c r="T59" s="73"/>
    </row>
    <row r="60">
      <c r="A60" s="67" t="s">
        <v>124</v>
      </c>
      <c r="B60" s="67"/>
      <c r="C60" s="67"/>
      <c r="D60" s="68" t="s">
        <v>476</v>
      </c>
      <c r="E60" s="69">
        <v>2021.0</v>
      </c>
      <c r="F60" s="68" t="s">
        <v>477</v>
      </c>
      <c r="G60" s="68" t="s">
        <v>478</v>
      </c>
      <c r="H60" s="69">
        <v>9.0</v>
      </c>
      <c r="I60" s="69">
        <v>1.0</v>
      </c>
      <c r="J60" s="68" t="s">
        <v>479</v>
      </c>
      <c r="K60" s="70"/>
      <c r="L60" s="70"/>
      <c r="M60" s="69">
        <v>43.0</v>
      </c>
      <c r="N60" s="68" t="s">
        <v>480</v>
      </c>
      <c r="O60" s="71" t="s">
        <v>481</v>
      </c>
      <c r="P60" s="74"/>
      <c r="Q60" s="68" t="s">
        <v>130</v>
      </c>
      <c r="R60" s="68" t="s">
        <v>131</v>
      </c>
      <c r="S60" s="68" t="s">
        <v>482</v>
      </c>
      <c r="T60" s="73"/>
    </row>
    <row r="61">
      <c r="A61" s="67" t="s">
        <v>124</v>
      </c>
      <c r="B61" s="67"/>
      <c r="C61" s="67"/>
      <c r="D61" s="68" t="s">
        <v>483</v>
      </c>
      <c r="E61" s="69">
        <v>2020.0</v>
      </c>
      <c r="F61" s="68" t="s">
        <v>484</v>
      </c>
      <c r="G61" s="68" t="s">
        <v>485</v>
      </c>
      <c r="H61" s="70"/>
      <c r="I61" s="70"/>
      <c r="J61" s="70"/>
      <c r="K61" s="69">
        <v>1.0</v>
      </c>
      <c r="L61" s="69">
        <v>265.0</v>
      </c>
      <c r="M61" s="69">
        <v>1.0</v>
      </c>
      <c r="N61" s="68" t="s">
        <v>486</v>
      </c>
      <c r="O61" s="71" t="s">
        <v>487</v>
      </c>
      <c r="P61" s="72"/>
      <c r="Q61" s="68" t="s">
        <v>139</v>
      </c>
      <c r="R61" s="70"/>
      <c r="S61" s="68" t="s">
        <v>488</v>
      </c>
      <c r="T61" s="73"/>
    </row>
    <row r="62">
      <c r="A62" s="67" t="s">
        <v>124</v>
      </c>
      <c r="B62" s="67"/>
      <c r="C62" s="67"/>
      <c r="D62" s="68" t="s">
        <v>489</v>
      </c>
      <c r="E62" s="69">
        <v>2020.0</v>
      </c>
      <c r="F62" s="68" t="s">
        <v>490</v>
      </c>
      <c r="G62" s="68" t="s">
        <v>491</v>
      </c>
      <c r="H62" s="70"/>
      <c r="I62" s="70"/>
      <c r="J62" s="70"/>
      <c r="K62" s="69">
        <v>417.0</v>
      </c>
      <c r="L62" s="69">
        <v>430.0</v>
      </c>
      <c r="M62" s="69">
        <v>8.0</v>
      </c>
      <c r="N62" s="68" t="s">
        <v>492</v>
      </c>
      <c r="O62" s="71" t="s">
        <v>493</v>
      </c>
      <c r="P62" s="72"/>
      <c r="Q62" s="68" t="s">
        <v>190</v>
      </c>
      <c r="R62" s="70"/>
      <c r="S62" s="68" t="s">
        <v>494</v>
      </c>
    </row>
    <row r="63">
      <c r="A63" s="67" t="s">
        <v>124</v>
      </c>
      <c r="B63" s="67"/>
      <c r="C63" s="67"/>
      <c r="D63" s="68" t="s">
        <v>495</v>
      </c>
      <c r="E63" s="69">
        <v>2026.0</v>
      </c>
      <c r="F63" s="68" t="s">
        <v>496</v>
      </c>
      <c r="G63" s="68" t="s">
        <v>497</v>
      </c>
      <c r="H63" s="70"/>
      <c r="I63" s="70"/>
      <c r="J63" s="70"/>
      <c r="K63" s="70"/>
      <c r="L63" s="70"/>
      <c r="M63" s="69">
        <v>0.0</v>
      </c>
      <c r="N63" s="68" t="s">
        <v>498</v>
      </c>
      <c r="O63" s="71" t="s">
        <v>499</v>
      </c>
      <c r="P63" s="72"/>
      <c r="Q63" s="68" t="s">
        <v>130</v>
      </c>
      <c r="R63" s="70"/>
      <c r="S63" s="68" t="s">
        <v>500</v>
      </c>
    </row>
    <row r="64">
      <c r="A64" s="67" t="s">
        <v>124</v>
      </c>
      <c r="B64" s="67"/>
      <c r="C64" s="67"/>
      <c r="D64" s="68" t="s">
        <v>501</v>
      </c>
      <c r="E64" s="69">
        <v>2020.0</v>
      </c>
      <c r="F64" s="68" t="s">
        <v>502</v>
      </c>
      <c r="G64" s="68" t="s">
        <v>503</v>
      </c>
      <c r="H64" s="69">
        <v>50.0</v>
      </c>
      <c r="I64" s="69">
        <v>4.0</v>
      </c>
      <c r="J64" s="69">
        <v>9006833.0</v>
      </c>
      <c r="K64" s="69">
        <v>327.0</v>
      </c>
      <c r="L64" s="69">
        <v>336.0</v>
      </c>
      <c r="M64" s="69">
        <v>9.0</v>
      </c>
      <c r="N64" s="68" t="s">
        <v>504</v>
      </c>
      <c r="O64" s="71" t="s">
        <v>505</v>
      </c>
      <c r="P64" s="72"/>
      <c r="Q64" s="68" t="s">
        <v>130</v>
      </c>
      <c r="R64" s="70"/>
      <c r="S64" s="68" t="s">
        <v>506</v>
      </c>
      <c r="T64" s="73"/>
    </row>
    <row r="65">
      <c r="A65" s="67" t="s">
        <v>124</v>
      </c>
      <c r="B65" s="67"/>
      <c r="C65" s="67"/>
      <c r="D65" s="68" t="s">
        <v>507</v>
      </c>
      <c r="E65" s="69">
        <v>2025.0</v>
      </c>
      <c r="F65" s="68" t="s">
        <v>508</v>
      </c>
      <c r="G65" s="68" t="s">
        <v>509</v>
      </c>
      <c r="H65" s="70"/>
      <c r="I65" s="70"/>
      <c r="J65" s="70"/>
      <c r="K65" s="69">
        <v>1.0</v>
      </c>
      <c r="L65" s="69">
        <v>220.0</v>
      </c>
      <c r="M65" s="69">
        <v>1.0</v>
      </c>
      <c r="N65" s="68" t="s">
        <v>510</v>
      </c>
      <c r="O65" s="71" t="s">
        <v>511</v>
      </c>
      <c r="P65" s="72"/>
      <c r="Q65" s="68" t="s">
        <v>139</v>
      </c>
      <c r="R65" s="70"/>
      <c r="S65" s="68" t="s">
        <v>512</v>
      </c>
      <c r="T65" s="73"/>
    </row>
    <row r="66">
      <c r="A66" s="67" t="s">
        <v>124</v>
      </c>
      <c r="B66" s="67"/>
      <c r="C66" s="67"/>
      <c r="D66" s="68" t="s">
        <v>513</v>
      </c>
      <c r="E66" s="69">
        <v>2023.0</v>
      </c>
      <c r="F66" s="68" t="s">
        <v>514</v>
      </c>
      <c r="G66" s="68" t="s">
        <v>515</v>
      </c>
      <c r="H66" s="70"/>
      <c r="I66" s="70"/>
      <c r="J66" s="70"/>
      <c r="K66" s="69">
        <v>1.0</v>
      </c>
      <c r="L66" s="69">
        <v>420.0</v>
      </c>
      <c r="M66" s="69">
        <v>3.0</v>
      </c>
      <c r="N66" s="68" t="s">
        <v>516</v>
      </c>
      <c r="O66" s="71" t="s">
        <v>517</v>
      </c>
      <c r="P66" s="74"/>
      <c r="Q66" s="68" t="s">
        <v>139</v>
      </c>
      <c r="R66" s="68" t="s">
        <v>379</v>
      </c>
      <c r="S66" s="68" t="s">
        <v>518</v>
      </c>
      <c r="T66" s="73"/>
    </row>
    <row r="67">
      <c r="A67" s="67" t="s">
        <v>124</v>
      </c>
      <c r="B67" s="67"/>
      <c r="C67" s="67"/>
      <c r="D67" s="68" t="s">
        <v>519</v>
      </c>
      <c r="E67" s="69">
        <v>2022.0</v>
      </c>
      <c r="F67" s="68" t="s">
        <v>520</v>
      </c>
      <c r="G67" s="68" t="s">
        <v>521</v>
      </c>
      <c r="H67" s="69">
        <v>16.0</v>
      </c>
      <c r="I67" s="69">
        <v>5.0</v>
      </c>
      <c r="J67" s="70"/>
      <c r="K67" s="69">
        <v>2149.0</v>
      </c>
      <c r="L67" s="69">
        <v>2178.0</v>
      </c>
      <c r="M67" s="69">
        <v>8.0</v>
      </c>
      <c r="N67" s="68" t="s">
        <v>522</v>
      </c>
      <c r="O67" s="71" t="s">
        <v>523</v>
      </c>
      <c r="P67" s="72"/>
      <c r="Q67" s="68" t="s">
        <v>152</v>
      </c>
      <c r="R67" s="70"/>
      <c r="S67" s="68" t="s">
        <v>524</v>
      </c>
    </row>
    <row r="68">
      <c r="A68" s="67" t="s">
        <v>124</v>
      </c>
      <c r="B68" s="67"/>
      <c r="C68" s="67"/>
      <c r="D68" s="68" t="s">
        <v>525</v>
      </c>
      <c r="E68" s="69">
        <v>2024.0</v>
      </c>
      <c r="F68" s="68" t="s">
        <v>526</v>
      </c>
      <c r="G68" s="68" t="s">
        <v>527</v>
      </c>
      <c r="H68" s="69">
        <v>53.0</v>
      </c>
      <c r="I68" s="69">
        <v>5.0</v>
      </c>
      <c r="J68" s="70"/>
      <c r="K68" s="69">
        <v>53.0</v>
      </c>
      <c r="L68" s="69">
        <v>73.0</v>
      </c>
      <c r="M68" s="69">
        <v>3.0</v>
      </c>
      <c r="N68" s="68" t="s">
        <v>528</v>
      </c>
      <c r="O68" s="71" t="s">
        <v>529</v>
      </c>
      <c r="P68" s="72"/>
      <c r="Q68" s="68" t="s">
        <v>130</v>
      </c>
      <c r="R68" s="68" t="s">
        <v>131</v>
      </c>
      <c r="S68" s="68" t="s">
        <v>530</v>
      </c>
    </row>
    <row r="69">
      <c r="A69" s="67" t="s">
        <v>124</v>
      </c>
      <c r="B69" s="67"/>
      <c r="C69" s="67"/>
      <c r="D69" s="68" t="s">
        <v>531</v>
      </c>
      <c r="E69" s="69">
        <v>2024.0</v>
      </c>
      <c r="F69" s="68" t="s">
        <v>532</v>
      </c>
      <c r="G69" s="68" t="s">
        <v>533</v>
      </c>
      <c r="H69" s="70"/>
      <c r="I69" s="70"/>
      <c r="J69" s="70"/>
      <c r="K69" s="69">
        <v>1.0</v>
      </c>
      <c r="L69" s="69">
        <v>201.0</v>
      </c>
      <c r="M69" s="69">
        <v>1.0</v>
      </c>
      <c r="N69" s="70"/>
      <c r="O69" s="71" t="s">
        <v>534</v>
      </c>
      <c r="P69" s="72"/>
      <c r="Q69" s="68" t="s">
        <v>139</v>
      </c>
      <c r="R69" s="70"/>
      <c r="S69" s="68" t="s">
        <v>535</v>
      </c>
    </row>
    <row r="70">
      <c r="A70" s="67"/>
      <c r="B70" s="67"/>
      <c r="C70" s="67"/>
      <c r="D70" s="76"/>
      <c r="E70" s="77"/>
      <c r="F70" s="76"/>
      <c r="G70" s="78"/>
      <c r="H70" s="79"/>
      <c r="I70" s="77"/>
      <c r="J70" s="77"/>
      <c r="K70" s="77"/>
      <c r="L70" s="77"/>
      <c r="M70" s="77"/>
      <c r="N70" s="80"/>
      <c r="O70" s="74"/>
      <c r="P70" s="74"/>
      <c r="Q70" s="77"/>
      <c r="R70" s="81"/>
      <c r="S70" s="82"/>
      <c r="T70" s="73"/>
    </row>
    <row r="71">
      <c r="A71" s="67"/>
      <c r="B71" s="67"/>
      <c r="C71" s="67"/>
      <c r="D71" s="76"/>
      <c r="E71" s="77"/>
      <c r="F71" s="83"/>
      <c r="G71" s="80"/>
      <c r="H71" s="79"/>
      <c r="I71" s="79"/>
      <c r="J71" s="79"/>
      <c r="K71" s="79"/>
      <c r="L71" s="79"/>
      <c r="M71" s="79"/>
      <c r="N71" s="79"/>
      <c r="O71" s="79"/>
      <c r="P71" s="72"/>
      <c r="Q71" s="77"/>
      <c r="R71" s="77"/>
      <c r="S71" s="82"/>
    </row>
    <row r="72">
      <c r="A72" s="67"/>
      <c r="B72" s="67"/>
      <c r="C72" s="67"/>
      <c r="D72" s="76"/>
      <c r="E72" s="77"/>
      <c r="F72" s="83"/>
      <c r="G72" s="80"/>
      <c r="H72" s="79"/>
      <c r="I72" s="79"/>
      <c r="J72" s="79"/>
      <c r="K72" s="79"/>
      <c r="L72" s="79"/>
      <c r="M72" s="79"/>
      <c r="N72" s="79"/>
      <c r="O72" s="79"/>
      <c r="P72" s="72"/>
      <c r="Q72" s="77"/>
      <c r="R72" s="77"/>
      <c r="S72" s="82"/>
    </row>
    <row r="73">
      <c r="A73" s="67"/>
      <c r="B73" s="67"/>
      <c r="C73" s="67"/>
      <c r="D73" s="76"/>
      <c r="E73" s="77"/>
      <c r="F73" s="76"/>
      <c r="G73" s="78"/>
      <c r="H73" s="79"/>
      <c r="I73" s="77"/>
      <c r="J73" s="77"/>
      <c r="K73" s="77"/>
      <c r="L73" s="77"/>
      <c r="M73" s="77"/>
      <c r="N73" s="80"/>
      <c r="O73" s="74"/>
      <c r="P73" s="74"/>
      <c r="Q73" s="77"/>
      <c r="R73" s="81"/>
      <c r="S73" s="82"/>
      <c r="T73" s="73"/>
    </row>
    <row r="74">
      <c r="A74" s="67"/>
      <c r="B74" s="67"/>
      <c r="C74" s="67"/>
      <c r="D74" s="76"/>
      <c r="E74" s="77"/>
      <c r="F74" s="83"/>
      <c r="G74" s="80"/>
      <c r="H74" s="79"/>
      <c r="I74" s="79"/>
      <c r="J74" s="79"/>
      <c r="K74" s="79"/>
      <c r="L74" s="79"/>
      <c r="M74" s="79"/>
      <c r="N74" s="79"/>
      <c r="O74" s="79"/>
      <c r="P74" s="72"/>
      <c r="Q74" s="77"/>
      <c r="R74" s="77"/>
      <c r="S74" s="82"/>
    </row>
    <row r="75">
      <c r="A75" s="67"/>
      <c r="B75" s="67"/>
      <c r="C75" s="67"/>
      <c r="D75" s="76"/>
      <c r="E75" s="77"/>
      <c r="F75" s="83"/>
      <c r="G75" s="80"/>
      <c r="H75" s="79"/>
      <c r="I75" s="79"/>
      <c r="J75" s="79"/>
      <c r="K75" s="79"/>
      <c r="L75" s="79"/>
      <c r="M75" s="79"/>
      <c r="N75" s="79"/>
      <c r="O75" s="79"/>
      <c r="P75" s="72"/>
      <c r="Q75" s="77"/>
      <c r="R75" s="77"/>
      <c r="S75" s="82"/>
      <c r="T75" s="73"/>
    </row>
    <row r="76">
      <c r="A76" s="67"/>
      <c r="B76" s="67"/>
      <c r="C76" s="67"/>
      <c r="D76" s="76"/>
      <c r="E76" s="77"/>
      <c r="F76" s="76"/>
      <c r="G76" s="78"/>
      <c r="H76" s="79"/>
      <c r="I76" s="77"/>
      <c r="J76" s="77"/>
      <c r="K76" s="77"/>
      <c r="L76" s="77"/>
      <c r="M76" s="77"/>
      <c r="N76" s="80"/>
      <c r="O76" s="74"/>
      <c r="P76" s="74"/>
      <c r="Q76" s="77"/>
      <c r="R76" s="81"/>
      <c r="S76" s="82"/>
      <c r="T76" s="73"/>
    </row>
    <row r="77">
      <c r="A77" s="67"/>
      <c r="B77" s="67"/>
      <c r="C77" s="67"/>
      <c r="D77" s="76"/>
      <c r="E77" s="77"/>
      <c r="F77" s="83"/>
      <c r="G77" s="80"/>
      <c r="H77" s="79"/>
      <c r="I77" s="79"/>
      <c r="J77" s="79"/>
      <c r="K77" s="79"/>
      <c r="L77" s="79"/>
      <c r="M77" s="79"/>
      <c r="N77" s="79"/>
      <c r="O77" s="79"/>
      <c r="P77" s="72"/>
      <c r="Q77" s="77"/>
      <c r="R77" s="77"/>
      <c r="S77" s="82"/>
      <c r="T77" s="73"/>
    </row>
    <row r="78">
      <c r="A78" s="67"/>
      <c r="B78" s="67"/>
      <c r="C78" s="67"/>
      <c r="D78" s="76"/>
      <c r="E78" s="77"/>
      <c r="F78" s="76"/>
      <c r="G78" s="78"/>
      <c r="H78" s="79"/>
      <c r="I78" s="77"/>
      <c r="J78" s="77"/>
      <c r="K78" s="77"/>
      <c r="L78" s="77"/>
      <c r="M78" s="77"/>
      <c r="N78" s="80"/>
      <c r="O78" s="74"/>
      <c r="P78" s="74"/>
      <c r="Q78" s="77"/>
      <c r="R78" s="81"/>
      <c r="S78" s="82"/>
      <c r="T78" s="73"/>
    </row>
    <row r="79">
      <c r="A79" s="67"/>
      <c r="B79" s="67"/>
      <c r="C79" s="67"/>
      <c r="D79" s="76"/>
      <c r="E79" s="77"/>
      <c r="F79" s="83"/>
      <c r="G79" s="80"/>
      <c r="H79" s="79"/>
      <c r="I79" s="79"/>
      <c r="J79" s="84"/>
      <c r="K79" s="79"/>
      <c r="L79" s="79"/>
      <c r="M79" s="79"/>
      <c r="N79" s="79"/>
      <c r="O79" s="79"/>
      <c r="P79" s="72"/>
      <c r="Q79" s="77"/>
      <c r="R79" s="77"/>
      <c r="S79" s="82"/>
    </row>
    <row r="80">
      <c r="A80" s="67"/>
      <c r="B80" s="67"/>
      <c r="C80" s="67"/>
      <c r="D80" s="76"/>
      <c r="E80" s="77"/>
      <c r="F80" s="83"/>
      <c r="G80" s="80"/>
      <c r="H80" s="79"/>
      <c r="I80" s="79"/>
      <c r="J80" s="79"/>
      <c r="K80" s="79"/>
      <c r="L80" s="79"/>
      <c r="M80" s="79"/>
      <c r="N80" s="79"/>
      <c r="O80" s="79"/>
      <c r="P80" s="72"/>
      <c r="Q80" s="77"/>
      <c r="R80" s="77"/>
      <c r="S80" s="82"/>
    </row>
    <row r="81">
      <c r="A81" s="67"/>
      <c r="B81" s="67"/>
      <c r="C81" s="67"/>
      <c r="D81" s="76"/>
      <c r="E81" s="77"/>
      <c r="F81" s="76"/>
      <c r="G81" s="78"/>
      <c r="H81" s="79"/>
      <c r="I81" s="77"/>
      <c r="J81" s="77"/>
      <c r="K81" s="77"/>
      <c r="L81" s="77"/>
      <c r="M81" s="77"/>
      <c r="N81" s="80"/>
      <c r="O81" s="74"/>
      <c r="P81" s="74"/>
      <c r="Q81" s="77"/>
      <c r="R81" s="81"/>
      <c r="S81" s="82"/>
      <c r="T81" s="73"/>
    </row>
    <row r="82">
      <c r="A82" s="67"/>
      <c r="B82" s="67"/>
      <c r="C82" s="67"/>
      <c r="D82" s="76"/>
      <c r="E82" s="77"/>
      <c r="F82" s="76"/>
      <c r="G82" s="78"/>
      <c r="H82" s="79"/>
      <c r="I82" s="77"/>
      <c r="J82" s="77"/>
      <c r="K82" s="77"/>
      <c r="L82" s="77"/>
      <c r="M82" s="77"/>
      <c r="N82" s="80"/>
      <c r="O82" s="74"/>
      <c r="P82" s="74"/>
      <c r="Q82" s="77"/>
      <c r="R82" s="81"/>
      <c r="S82" s="82"/>
      <c r="T82" s="73"/>
    </row>
    <row r="83">
      <c r="A83" s="67"/>
      <c r="B83" s="67"/>
      <c r="C83" s="67"/>
      <c r="D83" s="76"/>
      <c r="E83" s="77"/>
      <c r="F83" s="83"/>
      <c r="G83" s="80"/>
      <c r="H83" s="79"/>
      <c r="I83" s="79"/>
      <c r="J83" s="84"/>
      <c r="K83" s="79"/>
      <c r="L83" s="79"/>
      <c r="M83" s="79"/>
      <c r="N83" s="79"/>
      <c r="O83" s="79"/>
      <c r="P83" s="72"/>
      <c r="Q83" s="77"/>
      <c r="R83" s="77"/>
      <c r="S83" s="82"/>
      <c r="T83" s="73"/>
    </row>
    <row r="84">
      <c r="A84" s="67"/>
      <c r="B84" s="67"/>
      <c r="C84" s="67"/>
      <c r="D84" s="76"/>
      <c r="E84" s="77"/>
      <c r="F84" s="76"/>
      <c r="G84" s="78"/>
      <c r="H84" s="79"/>
      <c r="I84" s="77"/>
      <c r="J84" s="77"/>
      <c r="K84" s="77"/>
      <c r="L84" s="77"/>
      <c r="M84" s="77"/>
      <c r="N84" s="80"/>
      <c r="O84" s="74"/>
      <c r="P84" s="74"/>
      <c r="Q84" s="77"/>
      <c r="R84" s="81"/>
      <c r="S84" s="82"/>
      <c r="T84" s="73"/>
    </row>
    <row r="85">
      <c r="A85" s="67"/>
      <c r="B85" s="67"/>
      <c r="C85" s="67"/>
      <c r="D85" s="76"/>
      <c r="E85" s="77"/>
      <c r="F85" s="83"/>
      <c r="G85" s="80"/>
      <c r="H85" s="79"/>
      <c r="I85" s="79"/>
      <c r="J85" s="79"/>
      <c r="K85" s="79"/>
      <c r="L85" s="79"/>
      <c r="M85" s="79"/>
      <c r="N85" s="79"/>
      <c r="O85" s="79"/>
      <c r="P85" s="72"/>
      <c r="Q85" s="77"/>
      <c r="R85" s="77"/>
      <c r="S85" s="82"/>
      <c r="T85" s="73"/>
    </row>
    <row r="86">
      <c r="A86" s="67"/>
      <c r="B86" s="67"/>
      <c r="C86" s="67"/>
      <c r="D86" s="76"/>
      <c r="E86" s="77"/>
      <c r="F86" s="83"/>
      <c r="G86" s="80"/>
      <c r="H86" s="79"/>
      <c r="I86" s="79"/>
      <c r="J86" s="79"/>
      <c r="K86" s="79"/>
      <c r="L86" s="79"/>
      <c r="M86" s="79"/>
      <c r="N86" s="79"/>
      <c r="O86" s="79"/>
      <c r="P86" s="72"/>
      <c r="Q86" s="77"/>
      <c r="R86" s="77"/>
      <c r="S86" s="82"/>
      <c r="T86" s="73"/>
    </row>
    <row r="87">
      <c r="A87" s="67"/>
      <c r="B87" s="67"/>
      <c r="C87" s="67"/>
      <c r="D87" s="76"/>
      <c r="E87" s="77"/>
      <c r="F87" s="76"/>
      <c r="G87" s="78"/>
      <c r="H87" s="79"/>
      <c r="I87" s="77"/>
      <c r="J87" s="77"/>
      <c r="K87" s="77"/>
      <c r="L87" s="77"/>
      <c r="M87" s="77"/>
      <c r="N87" s="80"/>
      <c r="O87" s="74"/>
      <c r="P87" s="74"/>
      <c r="Q87" s="77"/>
      <c r="R87" s="81"/>
      <c r="S87" s="82"/>
      <c r="T87" s="73"/>
    </row>
    <row r="88">
      <c r="A88" s="67"/>
      <c r="B88" s="67"/>
      <c r="C88" s="67"/>
      <c r="D88" s="76"/>
      <c r="E88" s="77"/>
      <c r="F88" s="83"/>
      <c r="G88" s="80"/>
      <c r="H88" s="79"/>
      <c r="I88" s="79"/>
      <c r="J88" s="79"/>
      <c r="K88" s="79"/>
      <c r="L88" s="79"/>
      <c r="M88" s="79"/>
      <c r="N88" s="79"/>
      <c r="O88" s="79"/>
      <c r="P88" s="72"/>
      <c r="Q88" s="77"/>
      <c r="R88" s="77"/>
      <c r="S88" s="82"/>
    </row>
    <row r="89">
      <c r="A89" s="67"/>
      <c r="B89" s="67"/>
      <c r="C89" s="67"/>
      <c r="D89" s="76"/>
      <c r="E89" s="77"/>
      <c r="F89" s="76"/>
      <c r="G89" s="78"/>
      <c r="H89" s="79"/>
      <c r="I89" s="77"/>
      <c r="J89" s="77"/>
      <c r="K89" s="77"/>
      <c r="L89" s="77"/>
      <c r="M89" s="77"/>
      <c r="N89" s="80"/>
      <c r="O89" s="74"/>
      <c r="P89" s="85"/>
      <c r="Q89" s="77"/>
      <c r="R89" s="81"/>
      <c r="S89" s="82"/>
      <c r="T89" s="73"/>
    </row>
    <row r="90">
      <c r="A90" s="67"/>
      <c r="B90" s="67"/>
      <c r="C90" s="67"/>
      <c r="D90" s="76"/>
      <c r="E90" s="77"/>
      <c r="F90" s="83"/>
      <c r="G90" s="80"/>
      <c r="H90" s="79"/>
      <c r="I90" s="79"/>
      <c r="J90" s="79"/>
      <c r="K90" s="79"/>
      <c r="L90" s="79"/>
      <c r="M90" s="79"/>
      <c r="N90" s="79"/>
      <c r="O90" s="79"/>
      <c r="P90" s="72"/>
      <c r="Q90" s="77"/>
      <c r="R90" s="77"/>
      <c r="S90" s="82"/>
      <c r="T90" s="73"/>
    </row>
    <row r="91">
      <c r="A91" s="67"/>
      <c r="B91" s="67"/>
      <c r="C91" s="67"/>
      <c r="D91" s="76"/>
      <c r="E91" s="77"/>
      <c r="F91" s="76"/>
      <c r="G91" s="78"/>
      <c r="H91" s="79"/>
      <c r="I91" s="77"/>
      <c r="J91" s="77"/>
      <c r="K91" s="77"/>
      <c r="L91" s="77"/>
      <c r="M91" s="77"/>
      <c r="N91" s="80"/>
      <c r="O91" s="74"/>
      <c r="P91" s="74"/>
      <c r="Q91" s="77"/>
      <c r="R91" s="81"/>
      <c r="S91" s="82"/>
      <c r="T91" s="73"/>
    </row>
    <row r="92">
      <c r="A92" s="67"/>
      <c r="B92" s="67"/>
      <c r="C92" s="67"/>
      <c r="D92" s="76"/>
      <c r="E92" s="77"/>
      <c r="F92" s="76"/>
      <c r="G92" s="78"/>
      <c r="H92" s="79"/>
      <c r="I92" s="77"/>
      <c r="J92" s="77"/>
      <c r="K92" s="77"/>
      <c r="L92" s="77"/>
      <c r="M92" s="77"/>
      <c r="N92" s="80"/>
      <c r="O92" s="74"/>
      <c r="P92" s="85"/>
      <c r="Q92" s="77"/>
      <c r="R92" s="81"/>
      <c r="S92" s="82"/>
      <c r="T92" s="73"/>
    </row>
    <row r="93">
      <c r="A93" s="67"/>
      <c r="B93" s="67"/>
      <c r="C93" s="67"/>
      <c r="D93" s="76"/>
      <c r="E93" s="77"/>
      <c r="F93" s="76"/>
      <c r="G93" s="78"/>
      <c r="H93" s="79"/>
      <c r="I93" s="77"/>
      <c r="J93" s="77"/>
      <c r="K93" s="77"/>
      <c r="L93" s="77"/>
      <c r="M93" s="77"/>
      <c r="N93" s="80"/>
      <c r="O93" s="74"/>
      <c r="P93" s="85"/>
      <c r="Q93" s="77"/>
      <c r="R93" s="81"/>
      <c r="S93" s="82"/>
      <c r="T93" s="73"/>
    </row>
    <row r="94">
      <c r="A94" s="67"/>
      <c r="B94" s="67"/>
      <c r="C94" s="67"/>
      <c r="D94" s="76"/>
      <c r="E94" s="77"/>
      <c r="F94" s="83"/>
      <c r="G94" s="80"/>
      <c r="H94" s="79"/>
      <c r="I94" s="79"/>
      <c r="J94" s="79"/>
      <c r="K94" s="79"/>
      <c r="L94" s="79"/>
      <c r="M94" s="79"/>
      <c r="N94" s="79"/>
      <c r="O94" s="79"/>
      <c r="P94" s="72"/>
      <c r="Q94" s="77"/>
      <c r="R94" s="77"/>
      <c r="S94" s="82"/>
    </row>
    <row r="95">
      <c r="A95" s="67"/>
      <c r="B95" s="67"/>
      <c r="C95" s="67"/>
      <c r="D95" s="76"/>
      <c r="E95" s="77"/>
      <c r="F95" s="83"/>
      <c r="G95" s="80"/>
      <c r="H95" s="79"/>
      <c r="I95" s="79"/>
      <c r="J95" s="79"/>
      <c r="K95" s="79"/>
      <c r="L95" s="79"/>
      <c r="M95" s="79"/>
      <c r="N95" s="79"/>
      <c r="O95" s="79"/>
      <c r="P95" s="72"/>
      <c r="Q95" s="77"/>
      <c r="R95" s="77"/>
      <c r="S95" s="82"/>
      <c r="T95" s="73"/>
    </row>
    <row r="96">
      <c r="A96" s="67"/>
      <c r="B96" s="67"/>
      <c r="C96" s="67"/>
      <c r="D96" s="76"/>
      <c r="E96" s="77"/>
      <c r="F96" s="83"/>
      <c r="G96" s="80"/>
      <c r="H96" s="79"/>
      <c r="I96" s="79"/>
      <c r="J96" s="79"/>
      <c r="K96" s="79"/>
      <c r="L96" s="79"/>
      <c r="M96" s="79"/>
      <c r="N96" s="79"/>
      <c r="O96" s="79"/>
      <c r="P96" s="72"/>
      <c r="Q96" s="77"/>
      <c r="R96" s="77"/>
      <c r="S96" s="82"/>
      <c r="T96" s="73"/>
    </row>
    <row r="97">
      <c r="A97" s="67"/>
      <c r="B97" s="67"/>
      <c r="C97" s="67"/>
      <c r="D97" s="76"/>
      <c r="E97" s="77"/>
      <c r="F97" s="76"/>
      <c r="G97" s="78"/>
      <c r="H97" s="79"/>
      <c r="I97" s="77"/>
      <c r="J97" s="77"/>
      <c r="K97" s="77"/>
      <c r="L97" s="77"/>
      <c r="M97" s="77"/>
      <c r="N97" s="80"/>
      <c r="O97" s="74"/>
      <c r="P97" s="85"/>
      <c r="Q97" s="77"/>
      <c r="R97" s="81"/>
      <c r="S97" s="82"/>
      <c r="T97" s="73"/>
    </row>
    <row r="98">
      <c r="A98" s="67"/>
      <c r="B98" s="67"/>
      <c r="C98" s="67"/>
      <c r="D98" s="76"/>
      <c r="E98" s="77"/>
      <c r="F98" s="76"/>
      <c r="G98" s="78"/>
      <c r="H98" s="79"/>
      <c r="I98" s="77"/>
      <c r="J98" s="77"/>
      <c r="K98" s="77"/>
      <c r="L98" s="77"/>
      <c r="M98" s="77"/>
      <c r="N98" s="80"/>
      <c r="O98" s="74"/>
      <c r="P98" s="74"/>
      <c r="Q98" s="77"/>
      <c r="R98" s="81"/>
      <c r="S98" s="82"/>
      <c r="T98" s="73"/>
    </row>
    <row r="99">
      <c r="A99" s="67"/>
      <c r="B99" s="67"/>
      <c r="C99" s="67"/>
      <c r="D99" s="76"/>
      <c r="E99" s="77"/>
      <c r="F99" s="83"/>
      <c r="G99" s="80"/>
      <c r="H99" s="79"/>
      <c r="I99" s="79"/>
      <c r="J99" s="79"/>
      <c r="K99" s="79"/>
      <c r="L99" s="79"/>
      <c r="M99" s="79"/>
      <c r="N99" s="79"/>
      <c r="O99" s="79"/>
      <c r="P99" s="72"/>
      <c r="Q99" s="77"/>
      <c r="R99" s="77"/>
      <c r="S99" s="82"/>
      <c r="T99" s="73"/>
    </row>
    <row r="100">
      <c r="A100" s="67"/>
      <c r="B100" s="67"/>
      <c r="C100" s="67"/>
      <c r="D100" s="76"/>
      <c r="E100" s="77"/>
      <c r="F100" s="76"/>
      <c r="G100" s="78"/>
      <c r="H100" s="79"/>
      <c r="I100" s="77"/>
      <c r="J100" s="77"/>
      <c r="K100" s="77"/>
      <c r="L100" s="77"/>
      <c r="M100" s="77"/>
      <c r="N100" s="80"/>
      <c r="O100" s="74"/>
      <c r="P100" s="85"/>
      <c r="Q100" s="77"/>
      <c r="R100" s="81"/>
      <c r="S100" s="82"/>
      <c r="T100" s="73"/>
    </row>
    <row r="101">
      <c r="A101" s="67"/>
      <c r="B101" s="67"/>
      <c r="C101" s="67"/>
      <c r="D101" s="76"/>
      <c r="E101" s="77"/>
      <c r="F101" s="83"/>
      <c r="G101" s="80"/>
      <c r="H101" s="79"/>
      <c r="I101" s="79"/>
      <c r="J101" s="79"/>
      <c r="K101" s="79"/>
      <c r="L101" s="79"/>
      <c r="M101" s="79"/>
      <c r="N101" s="79"/>
      <c r="O101" s="79"/>
      <c r="P101" s="72"/>
      <c r="Q101" s="77"/>
      <c r="R101" s="77"/>
      <c r="S101" s="82"/>
      <c r="T101" s="73"/>
    </row>
    <row r="102">
      <c r="A102" s="67"/>
      <c r="B102" s="67"/>
      <c r="C102" s="67"/>
      <c r="D102" s="76"/>
      <c r="E102" s="77"/>
      <c r="F102" s="76"/>
      <c r="G102" s="78"/>
      <c r="H102" s="79"/>
      <c r="I102" s="77"/>
      <c r="J102" s="77"/>
      <c r="K102" s="77"/>
      <c r="L102" s="77"/>
      <c r="M102" s="77"/>
      <c r="N102" s="80"/>
      <c r="O102" s="74"/>
      <c r="P102" s="74"/>
      <c r="Q102" s="77"/>
      <c r="R102" s="81"/>
      <c r="S102" s="82"/>
      <c r="T102" s="73"/>
    </row>
    <row r="103">
      <c r="A103" s="67"/>
      <c r="B103" s="67"/>
      <c r="C103" s="67"/>
      <c r="D103" s="76"/>
      <c r="E103" s="77"/>
      <c r="F103" s="83"/>
      <c r="G103" s="80"/>
      <c r="H103" s="79"/>
      <c r="I103" s="79"/>
      <c r="J103" s="79"/>
      <c r="K103" s="79"/>
      <c r="L103" s="79"/>
      <c r="M103" s="79"/>
      <c r="N103" s="79"/>
      <c r="O103" s="79"/>
      <c r="P103" s="72"/>
      <c r="Q103" s="77"/>
      <c r="R103" s="77"/>
      <c r="S103" s="82"/>
      <c r="T103" s="73"/>
    </row>
    <row r="104">
      <c r="A104" s="67"/>
      <c r="B104" s="67"/>
      <c r="C104" s="67"/>
      <c r="D104" s="76"/>
      <c r="E104" s="77"/>
      <c r="F104" s="83"/>
      <c r="G104" s="80"/>
      <c r="H104" s="79"/>
      <c r="I104" s="79"/>
      <c r="J104" s="79"/>
      <c r="K104" s="79"/>
      <c r="L104" s="79"/>
      <c r="M104" s="79"/>
      <c r="N104" s="79"/>
      <c r="O104" s="79"/>
      <c r="P104" s="72"/>
      <c r="Q104" s="77"/>
      <c r="R104" s="77"/>
      <c r="S104" s="82"/>
    </row>
    <row r="105">
      <c r="A105" s="67"/>
      <c r="B105" s="67"/>
      <c r="C105" s="67"/>
      <c r="D105" s="76"/>
      <c r="E105" s="77"/>
      <c r="F105" s="83"/>
      <c r="G105" s="80"/>
      <c r="H105" s="79"/>
      <c r="I105" s="79"/>
      <c r="J105" s="79"/>
      <c r="K105" s="79"/>
      <c r="L105" s="79"/>
      <c r="M105" s="79"/>
      <c r="N105" s="79"/>
      <c r="O105" s="79"/>
      <c r="P105" s="72"/>
      <c r="Q105" s="77"/>
      <c r="R105" s="77"/>
      <c r="S105" s="82"/>
      <c r="T105" s="73"/>
    </row>
    <row r="106">
      <c r="A106" s="67"/>
      <c r="B106" s="67"/>
      <c r="C106" s="67"/>
      <c r="D106" s="76"/>
      <c r="E106" s="77"/>
      <c r="F106" s="83"/>
      <c r="G106" s="80"/>
      <c r="H106" s="79"/>
      <c r="I106" s="79"/>
      <c r="J106" s="79"/>
      <c r="K106" s="79"/>
      <c r="L106" s="79"/>
      <c r="M106" s="79"/>
      <c r="N106" s="79"/>
      <c r="O106" s="79"/>
      <c r="P106" s="72"/>
      <c r="Q106" s="77"/>
      <c r="R106" s="77"/>
      <c r="S106" s="82"/>
      <c r="T106" s="73"/>
    </row>
    <row r="107">
      <c r="A107" s="67"/>
      <c r="B107" s="67"/>
      <c r="C107" s="67"/>
      <c r="D107" s="76"/>
      <c r="E107" s="77"/>
      <c r="F107" s="83"/>
      <c r="G107" s="80"/>
      <c r="H107" s="79"/>
      <c r="I107" s="79"/>
      <c r="J107" s="79"/>
      <c r="K107" s="79"/>
      <c r="L107" s="79"/>
      <c r="M107" s="79"/>
      <c r="N107" s="79"/>
      <c r="O107" s="79"/>
      <c r="P107" s="72"/>
      <c r="Q107" s="77"/>
      <c r="R107" s="77"/>
      <c r="S107" s="82"/>
      <c r="T107" s="73"/>
    </row>
    <row r="108">
      <c r="A108" s="67"/>
      <c r="B108" s="67"/>
      <c r="C108" s="67"/>
      <c r="D108" s="76"/>
      <c r="E108" s="77"/>
      <c r="F108" s="76"/>
      <c r="G108" s="78"/>
      <c r="H108" s="79"/>
      <c r="I108" s="77"/>
      <c r="J108" s="77"/>
      <c r="K108" s="77"/>
      <c r="L108" s="77"/>
      <c r="M108" s="77"/>
      <c r="N108" s="80"/>
      <c r="O108" s="74"/>
      <c r="P108" s="74"/>
      <c r="Q108" s="77"/>
      <c r="R108" s="81"/>
      <c r="S108" s="82"/>
      <c r="T108" s="73"/>
    </row>
    <row r="109">
      <c r="A109" s="67"/>
      <c r="B109" s="67"/>
      <c r="C109" s="67"/>
      <c r="D109" s="76"/>
      <c r="E109" s="77"/>
      <c r="F109" s="83"/>
      <c r="G109" s="80"/>
      <c r="H109" s="79"/>
      <c r="I109" s="79"/>
      <c r="J109" s="79"/>
      <c r="K109" s="79"/>
      <c r="L109" s="79"/>
      <c r="M109" s="79"/>
      <c r="N109" s="79"/>
      <c r="O109" s="79"/>
      <c r="P109" s="72"/>
      <c r="Q109" s="77"/>
      <c r="R109" s="77"/>
      <c r="S109" s="82"/>
      <c r="T109" s="73"/>
    </row>
    <row r="110">
      <c r="A110" s="67"/>
      <c r="B110" s="67"/>
      <c r="C110" s="67"/>
      <c r="D110" s="76"/>
      <c r="E110" s="77"/>
      <c r="F110" s="83"/>
      <c r="G110" s="80"/>
      <c r="H110" s="79"/>
      <c r="I110" s="79"/>
      <c r="J110" s="79"/>
      <c r="K110" s="79"/>
      <c r="L110" s="79"/>
      <c r="M110" s="79"/>
      <c r="N110" s="79"/>
      <c r="O110" s="79"/>
      <c r="P110" s="72"/>
      <c r="Q110" s="77"/>
      <c r="R110" s="77"/>
      <c r="S110" s="82"/>
    </row>
    <row r="111">
      <c r="A111" s="67"/>
      <c r="B111" s="67"/>
      <c r="C111" s="67"/>
      <c r="D111" s="76"/>
      <c r="E111" s="77"/>
      <c r="F111" s="76"/>
      <c r="G111" s="78"/>
      <c r="H111" s="79"/>
      <c r="I111" s="77"/>
      <c r="J111" s="77"/>
      <c r="K111" s="77"/>
      <c r="L111" s="77"/>
      <c r="M111" s="77"/>
      <c r="N111" s="80"/>
      <c r="O111" s="74"/>
      <c r="P111" s="85"/>
      <c r="Q111" s="77"/>
      <c r="R111" s="81"/>
      <c r="S111" s="82"/>
      <c r="T111" s="73"/>
    </row>
    <row r="112">
      <c r="A112" s="67"/>
      <c r="B112" s="67"/>
      <c r="C112" s="67"/>
      <c r="D112" s="76"/>
      <c r="E112" s="77"/>
      <c r="F112" s="76"/>
      <c r="G112" s="78"/>
      <c r="H112" s="79"/>
      <c r="I112" s="77"/>
      <c r="J112" s="77"/>
      <c r="K112" s="77"/>
      <c r="L112" s="77"/>
      <c r="M112" s="77"/>
      <c r="N112" s="80"/>
      <c r="O112" s="74"/>
      <c r="P112" s="85"/>
      <c r="Q112" s="77"/>
      <c r="R112" s="81"/>
      <c r="S112" s="82"/>
      <c r="T112" s="73"/>
    </row>
    <row r="113">
      <c r="A113" s="67"/>
      <c r="B113" s="67"/>
      <c r="C113" s="67"/>
      <c r="D113" s="76"/>
      <c r="E113" s="77"/>
      <c r="F113" s="83"/>
      <c r="G113" s="80"/>
      <c r="H113" s="79"/>
      <c r="I113" s="79"/>
      <c r="J113" s="79"/>
      <c r="K113" s="79"/>
      <c r="L113" s="79"/>
      <c r="M113" s="79"/>
      <c r="N113" s="79"/>
      <c r="O113" s="79"/>
      <c r="P113" s="72"/>
      <c r="Q113" s="77"/>
      <c r="R113" s="77"/>
      <c r="S113" s="82"/>
    </row>
    <row r="114">
      <c r="A114" s="67"/>
      <c r="B114" s="67"/>
      <c r="C114" s="67"/>
      <c r="D114" s="76"/>
      <c r="E114" s="77"/>
      <c r="F114" s="76"/>
      <c r="G114" s="78"/>
      <c r="H114" s="79"/>
      <c r="I114" s="77"/>
      <c r="J114" s="77"/>
      <c r="K114" s="77"/>
      <c r="L114" s="77"/>
      <c r="M114" s="77"/>
      <c r="N114" s="80"/>
      <c r="O114" s="74"/>
      <c r="P114" s="85"/>
      <c r="Q114" s="77"/>
      <c r="R114" s="81"/>
      <c r="S114" s="82"/>
      <c r="T114" s="73"/>
    </row>
    <row r="115">
      <c r="A115" s="67"/>
      <c r="B115" s="67"/>
      <c r="C115" s="67"/>
      <c r="D115" s="76"/>
      <c r="E115" s="77"/>
      <c r="F115" s="83"/>
      <c r="G115" s="80"/>
      <c r="H115" s="79"/>
      <c r="I115" s="79"/>
      <c r="J115" s="79"/>
      <c r="K115" s="79"/>
      <c r="L115" s="79"/>
      <c r="M115" s="79"/>
      <c r="N115" s="79"/>
      <c r="O115" s="79"/>
      <c r="P115" s="72"/>
      <c r="Q115" s="77"/>
      <c r="R115" s="77"/>
      <c r="S115" s="82"/>
      <c r="T115" s="73"/>
    </row>
    <row r="116">
      <c r="A116" s="67"/>
      <c r="B116" s="67"/>
      <c r="C116" s="67"/>
      <c r="D116" s="76"/>
      <c r="E116" s="77"/>
      <c r="F116" s="76"/>
      <c r="G116" s="78"/>
      <c r="H116" s="79"/>
      <c r="I116" s="77"/>
      <c r="J116" s="77"/>
      <c r="K116" s="77"/>
      <c r="L116" s="77"/>
      <c r="M116" s="77"/>
      <c r="N116" s="80"/>
      <c r="O116" s="74"/>
      <c r="P116" s="85"/>
      <c r="Q116" s="77"/>
      <c r="R116" s="81"/>
      <c r="S116" s="82"/>
      <c r="T116" s="73"/>
    </row>
    <row r="117">
      <c r="A117" s="67"/>
      <c r="B117" s="67"/>
      <c r="C117" s="67"/>
      <c r="D117" s="76"/>
      <c r="E117" s="77"/>
      <c r="F117" s="76"/>
      <c r="G117" s="78"/>
      <c r="H117" s="79"/>
      <c r="I117" s="77"/>
      <c r="J117" s="77"/>
      <c r="K117" s="77"/>
      <c r="L117" s="77"/>
      <c r="M117" s="77"/>
      <c r="N117" s="80"/>
      <c r="O117" s="74"/>
      <c r="P117" s="85"/>
      <c r="Q117" s="77"/>
      <c r="R117" s="81"/>
      <c r="S117" s="82"/>
      <c r="T117" s="73"/>
    </row>
    <row r="118">
      <c r="A118" s="67"/>
      <c r="B118" s="67"/>
      <c r="C118" s="67"/>
      <c r="D118" s="76"/>
      <c r="E118" s="77"/>
      <c r="F118" s="83"/>
      <c r="G118" s="80"/>
      <c r="H118" s="79"/>
      <c r="I118" s="79"/>
      <c r="J118" s="79"/>
      <c r="K118" s="79"/>
      <c r="L118" s="79"/>
      <c r="M118" s="79"/>
      <c r="N118" s="79"/>
      <c r="O118" s="79"/>
      <c r="P118" s="72"/>
      <c r="Q118" s="77"/>
      <c r="R118" s="77"/>
      <c r="S118" s="82"/>
    </row>
    <row r="119">
      <c r="A119" s="67"/>
      <c r="B119" s="67"/>
      <c r="C119" s="67"/>
      <c r="D119" s="76"/>
      <c r="E119" s="77"/>
      <c r="F119" s="83"/>
      <c r="G119" s="80"/>
      <c r="H119" s="79"/>
      <c r="I119" s="79"/>
      <c r="J119" s="79"/>
      <c r="K119" s="79"/>
      <c r="L119" s="79"/>
      <c r="M119" s="79"/>
      <c r="N119" s="79"/>
      <c r="O119" s="79"/>
      <c r="P119" s="72"/>
      <c r="Q119" s="77"/>
      <c r="R119" s="77"/>
      <c r="S119" s="82"/>
      <c r="T119" s="73"/>
    </row>
    <row r="120">
      <c r="A120" s="67"/>
      <c r="B120" s="67"/>
      <c r="C120" s="67"/>
      <c r="D120" s="76"/>
      <c r="E120" s="77"/>
      <c r="F120" s="83"/>
      <c r="G120" s="80"/>
      <c r="H120" s="79"/>
      <c r="I120" s="79"/>
      <c r="J120" s="79"/>
      <c r="K120" s="79"/>
      <c r="L120" s="79"/>
      <c r="M120" s="79"/>
      <c r="N120" s="79"/>
      <c r="O120" s="79"/>
      <c r="P120" s="72"/>
      <c r="Q120" s="77"/>
      <c r="R120" s="77"/>
      <c r="S120" s="82"/>
      <c r="T120" s="73"/>
    </row>
    <row r="121">
      <c r="A121" s="67"/>
      <c r="B121" s="67"/>
      <c r="C121" s="67"/>
      <c r="D121" s="76"/>
      <c r="E121" s="77"/>
      <c r="F121" s="83"/>
      <c r="G121" s="80"/>
      <c r="H121" s="79"/>
      <c r="I121" s="79"/>
      <c r="J121" s="79"/>
      <c r="K121" s="79"/>
      <c r="L121" s="79"/>
      <c r="M121" s="79"/>
      <c r="N121" s="79"/>
      <c r="O121" s="79"/>
      <c r="P121" s="72"/>
      <c r="Q121" s="77"/>
      <c r="R121" s="77"/>
      <c r="S121" s="82"/>
      <c r="T121" s="73"/>
    </row>
    <row r="122">
      <c r="A122" s="67"/>
      <c r="B122" s="67"/>
      <c r="C122" s="67"/>
      <c r="D122" s="76"/>
      <c r="E122" s="77"/>
      <c r="F122" s="76"/>
      <c r="G122" s="78"/>
      <c r="H122" s="79"/>
      <c r="I122" s="77"/>
      <c r="J122" s="77"/>
      <c r="K122" s="77"/>
      <c r="L122" s="77"/>
      <c r="M122" s="77"/>
      <c r="N122" s="80"/>
      <c r="O122" s="74"/>
      <c r="P122" s="85"/>
      <c r="Q122" s="77"/>
      <c r="R122" s="81"/>
      <c r="S122" s="82"/>
      <c r="T122" s="73"/>
    </row>
    <row r="123">
      <c r="A123" s="67"/>
      <c r="B123" s="67"/>
      <c r="C123" s="67"/>
      <c r="D123" s="76"/>
      <c r="E123" s="77"/>
      <c r="F123" s="83"/>
      <c r="G123" s="80"/>
      <c r="H123" s="79"/>
      <c r="I123" s="79"/>
      <c r="J123" s="79"/>
      <c r="K123" s="79"/>
      <c r="L123" s="79"/>
      <c r="M123" s="79"/>
      <c r="N123" s="79"/>
      <c r="O123" s="79"/>
      <c r="P123" s="72"/>
      <c r="Q123" s="77"/>
      <c r="R123" s="77"/>
      <c r="S123" s="82"/>
    </row>
    <row r="124">
      <c r="A124" s="67"/>
      <c r="B124" s="67"/>
      <c r="C124" s="67"/>
      <c r="D124" s="76"/>
      <c r="E124" s="77"/>
      <c r="F124" s="76"/>
      <c r="G124" s="78"/>
      <c r="H124" s="79"/>
      <c r="I124" s="77"/>
      <c r="J124" s="77"/>
      <c r="K124" s="77"/>
      <c r="L124" s="77"/>
      <c r="M124" s="77"/>
      <c r="N124" s="80"/>
      <c r="O124" s="74"/>
      <c r="P124" s="85"/>
      <c r="Q124" s="77"/>
      <c r="R124" s="81"/>
      <c r="S124" s="82"/>
      <c r="T124" s="73"/>
    </row>
    <row r="125">
      <c r="A125" s="67"/>
      <c r="B125" s="67"/>
      <c r="C125" s="67"/>
      <c r="D125" s="76"/>
      <c r="E125" s="77"/>
      <c r="F125" s="76"/>
      <c r="G125" s="78"/>
      <c r="H125" s="79"/>
      <c r="I125" s="77"/>
      <c r="J125" s="77"/>
      <c r="K125" s="77"/>
      <c r="L125" s="77"/>
      <c r="M125" s="77"/>
      <c r="N125" s="80"/>
      <c r="O125" s="74"/>
      <c r="P125" s="74"/>
      <c r="Q125" s="77"/>
      <c r="R125" s="81"/>
      <c r="S125" s="82"/>
      <c r="T125" s="73"/>
    </row>
    <row r="126">
      <c r="A126" s="67"/>
      <c r="B126" s="67"/>
      <c r="C126" s="67"/>
      <c r="D126" s="76"/>
      <c r="E126" s="77"/>
      <c r="F126" s="83"/>
      <c r="G126" s="80"/>
      <c r="H126" s="79"/>
      <c r="I126" s="79"/>
      <c r="J126" s="79"/>
      <c r="K126" s="79"/>
      <c r="L126" s="79"/>
      <c r="M126" s="79"/>
      <c r="N126" s="79"/>
      <c r="O126" s="79"/>
      <c r="P126" s="72"/>
      <c r="Q126" s="77"/>
      <c r="R126" s="77"/>
      <c r="S126" s="82"/>
    </row>
    <row r="127">
      <c r="A127" s="67"/>
      <c r="B127" s="67"/>
      <c r="C127" s="67"/>
      <c r="D127" s="76"/>
      <c r="E127" s="77"/>
      <c r="F127" s="83"/>
      <c r="G127" s="80"/>
      <c r="H127" s="79"/>
      <c r="I127" s="79"/>
      <c r="J127" s="79"/>
      <c r="K127" s="79"/>
      <c r="L127" s="79"/>
      <c r="M127" s="79"/>
      <c r="N127" s="79"/>
      <c r="O127" s="79"/>
      <c r="P127" s="72"/>
      <c r="Q127" s="77"/>
      <c r="R127" s="77"/>
      <c r="S127" s="82"/>
    </row>
    <row r="128">
      <c r="A128" s="67"/>
      <c r="B128" s="67"/>
      <c r="C128" s="67"/>
      <c r="D128" s="76"/>
      <c r="E128" s="77"/>
      <c r="F128" s="76"/>
      <c r="G128" s="78"/>
      <c r="H128" s="79"/>
      <c r="I128" s="77"/>
      <c r="J128" s="77"/>
      <c r="K128" s="77"/>
      <c r="L128" s="77"/>
      <c r="M128" s="77"/>
      <c r="N128" s="80"/>
      <c r="O128" s="74"/>
      <c r="P128" s="85"/>
      <c r="Q128" s="77"/>
      <c r="R128" s="81"/>
      <c r="S128" s="82"/>
      <c r="T128" s="73"/>
    </row>
    <row r="129">
      <c r="A129" s="67"/>
      <c r="B129" s="67"/>
      <c r="C129" s="67"/>
      <c r="D129" s="76"/>
      <c r="E129" s="77"/>
      <c r="F129" s="83"/>
      <c r="G129" s="80"/>
      <c r="H129" s="79"/>
      <c r="I129" s="79"/>
      <c r="J129" s="79"/>
      <c r="K129" s="79"/>
      <c r="L129" s="79"/>
      <c r="M129" s="79"/>
      <c r="N129" s="79"/>
      <c r="O129" s="79"/>
      <c r="P129" s="72"/>
      <c r="Q129" s="77"/>
      <c r="R129" s="77"/>
      <c r="S129" s="82"/>
      <c r="T129" s="73"/>
    </row>
    <row r="130">
      <c r="A130" s="67"/>
      <c r="B130" s="67"/>
      <c r="C130" s="67"/>
      <c r="D130" s="76"/>
      <c r="E130" s="77"/>
      <c r="F130" s="83"/>
      <c r="G130" s="80"/>
      <c r="H130" s="79"/>
      <c r="I130" s="79"/>
      <c r="J130" s="79"/>
      <c r="K130" s="79"/>
      <c r="L130" s="79"/>
      <c r="M130" s="79"/>
      <c r="N130" s="79"/>
      <c r="O130" s="79"/>
      <c r="P130" s="72"/>
      <c r="Q130" s="77"/>
      <c r="R130" s="77"/>
      <c r="S130" s="82"/>
      <c r="T130" s="73"/>
    </row>
    <row r="131">
      <c r="A131" s="67"/>
      <c r="B131" s="67"/>
      <c r="C131" s="67"/>
      <c r="D131" s="76"/>
      <c r="E131" s="77"/>
      <c r="F131" s="83"/>
      <c r="G131" s="80"/>
      <c r="H131" s="79"/>
      <c r="I131" s="79"/>
      <c r="J131" s="79"/>
      <c r="K131" s="79"/>
      <c r="L131" s="79"/>
      <c r="M131" s="79"/>
      <c r="N131" s="79"/>
      <c r="O131" s="79"/>
      <c r="P131" s="72"/>
      <c r="Q131" s="77"/>
      <c r="R131" s="77"/>
      <c r="S131" s="82"/>
    </row>
    <row r="132">
      <c r="A132" s="67"/>
      <c r="B132" s="67"/>
      <c r="C132" s="67"/>
      <c r="D132" s="76"/>
      <c r="E132" s="77"/>
      <c r="F132" s="83"/>
      <c r="G132" s="80"/>
      <c r="H132" s="79"/>
      <c r="I132" s="79"/>
      <c r="J132" s="79"/>
      <c r="K132" s="79"/>
      <c r="L132" s="79"/>
      <c r="M132" s="79"/>
      <c r="N132" s="79"/>
      <c r="O132" s="79"/>
      <c r="P132" s="72"/>
      <c r="Q132" s="77"/>
      <c r="R132" s="77"/>
      <c r="S132" s="82"/>
      <c r="T132" s="73"/>
    </row>
    <row r="133">
      <c r="A133" s="67"/>
      <c r="B133" s="67"/>
      <c r="C133" s="67"/>
      <c r="D133" s="76"/>
      <c r="E133" s="77"/>
      <c r="F133" s="83"/>
      <c r="G133" s="80"/>
      <c r="H133" s="79"/>
      <c r="I133" s="79"/>
      <c r="J133" s="79"/>
      <c r="K133" s="79"/>
      <c r="L133" s="79"/>
      <c r="M133" s="79"/>
      <c r="N133" s="79"/>
      <c r="O133" s="79"/>
      <c r="P133" s="72"/>
      <c r="Q133" s="77"/>
      <c r="R133" s="77"/>
      <c r="S133" s="82"/>
    </row>
    <row r="134">
      <c r="A134" s="67"/>
      <c r="B134" s="67"/>
      <c r="C134" s="67"/>
      <c r="D134" s="76"/>
      <c r="E134" s="77"/>
      <c r="F134" s="76"/>
      <c r="G134" s="78"/>
      <c r="H134" s="79"/>
      <c r="I134" s="77"/>
      <c r="J134" s="77"/>
      <c r="K134" s="77"/>
      <c r="L134" s="77"/>
      <c r="M134" s="77"/>
      <c r="N134" s="80"/>
      <c r="O134" s="74"/>
      <c r="P134" s="85"/>
      <c r="Q134" s="77"/>
      <c r="R134" s="81"/>
      <c r="S134" s="82"/>
      <c r="T134" s="73"/>
    </row>
    <row r="135">
      <c r="A135" s="67"/>
      <c r="B135" s="67"/>
      <c r="C135" s="67"/>
      <c r="D135" s="76"/>
      <c r="E135" s="77"/>
      <c r="F135" s="83"/>
      <c r="G135" s="80"/>
      <c r="H135" s="79"/>
      <c r="I135" s="79"/>
      <c r="J135" s="79"/>
      <c r="K135" s="79"/>
      <c r="L135" s="79"/>
      <c r="M135" s="79"/>
      <c r="N135" s="79"/>
      <c r="O135" s="79"/>
      <c r="P135" s="72"/>
      <c r="Q135" s="77"/>
      <c r="R135" s="77"/>
      <c r="S135" s="82"/>
    </row>
    <row r="136">
      <c r="A136" s="67"/>
      <c r="B136" s="67"/>
      <c r="C136" s="67"/>
      <c r="D136" s="76"/>
      <c r="E136" s="77"/>
      <c r="F136" s="83"/>
      <c r="G136" s="80"/>
      <c r="H136" s="79"/>
      <c r="I136" s="79"/>
      <c r="J136" s="79"/>
      <c r="K136" s="79"/>
      <c r="L136" s="79"/>
      <c r="M136" s="79"/>
      <c r="N136" s="79"/>
      <c r="O136" s="79"/>
      <c r="P136" s="72"/>
      <c r="Q136" s="77"/>
      <c r="R136" s="77"/>
      <c r="S136" s="82"/>
      <c r="T136" s="73"/>
    </row>
    <row r="137">
      <c r="A137" s="67"/>
      <c r="B137" s="67"/>
      <c r="C137" s="67"/>
      <c r="D137" s="76"/>
      <c r="E137" s="77"/>
      <c r="F137" s="83"/>
      <c r="G137" s="80"/>
      <c r="H137" s="79"/>
      <c r="I137" s="79"/>
      <c r="J137" s="79"/>
      <c r="K137" s="79"/>
      <c r="L137" s="79"/>
      <c r="M137" s="79"/>
      <c r="N137" s="79"/>
      <c r="O137" s="79"/>
      <c r="P137" s="72"/>
      <c r="Q137" s="77"/>
      <c r="R137" s="77"/>
      <c r="S137" s="82"/>
      <c r="T137" s="73"/>
    </row>
    <row r="138">
      <c r="A138" s="67"/>
      <c r="B138" s="67"/>
      <c r="C138" s="67"/>
      <c r="D138" s="76"/>
      <c r="E138" s="77"/>
      <c r="F138" s="76"/>
      <c r="G138" s="78"/>
      <c r="H138" s="79"/>
      <c r="I138" s="77"/>
      <c r="J138" s="77"/>
      <c r="K138" s="77"/>
      <c r="L138" s="77"/>
      <c r="M138" s="77"/>
      <c r="N138" s="80"/>
      <c r="O138" s="74"/>
      <c r="P138" s="85"/>
      <c r="Q138" s="77"/>
      <c r="R138" s="81"/>
      <c r="S138" s="82"/>
      <c r="T138" s="73"/>
    </row>
    <row r="139">
      <c r="A139" s="67"/>
      <c r="B139" s="67"/>
      <c r="C139" s="67"/>
      <c r="D139" s="76"/>
      <c r="E139" s="77"/>
      <c r="F139" s="76"/>
      <c r="G139" s="78"/>
      <c r="H139" s="79"/>
      <c r="I139" s="77"/>
      <c r="J139" s="77"/>
      <c r="K139" s="77"/>
      <c r="L139" s="77"/>
      <c r="M139" s="77"/>
      <c r="N139" s="80"/>
      <c r="O139" s="74"/>
      <c r="P139" s="85"/>
      <c r="Q139" s="77"/>
      <c r="R139" s="81"/>
      <c r="S139" s="82"/>
      <c r="T139" s="73"/>
    </row>
    <row r="140">
      <c r="A140" s="67"/>
      <c r="B140" s="67"/>
      <c r="C140" s="67"/>
      <c r="D140" s="76"/>
      <c r="E140" s="77"/>
      <c r="F140" s="83"/>
      <c r="G140" s="80"/>
      <c r="H140" s="79"/>
      <c r="I140" s="79"/>
      <c r="J140" s="79"/>
      <c r="K140" s="79"/>
      <c r="L140" s="79"/>
      <c r="M140" s="79"/>
      <c r="N140" s="79"/>
      <c r="O140" s="79"/>
      <c r="P140" s="72"/>
      <c r="Q140" s="77"/>
      <c r="R140" s="77"/>
      <c r="S140" s="82"/>
    </row>
    <row r="141">
      <c r="A141" s="67"/>
      <c r="B141" s="67"/>
      <c r="C141" s="67"/>
      <c r="D141" s="76"/>
      <c r="E141" s="77"/>
      <c r="F141" s="83"/>
      <c r="G141" s="80"/>
      <c r="H141" s="79"/>
      <c r="I141" s="79"/>
      <c r="J141" s="79"/>
      <c r="K141" s="79"/>
      <c r="L141" s="79"/>
      <c r="M141" s="79"/>
      <c r="N141" s="79"/>
      <c r="O141" s="79"/>
      <c r="P141" s="72"/>
      <c r="Q141" s="77"/>
      <c r="R141" s="77"/>
      <c r="S141" s="82"/>
      <c r="T141" s="73"/>
    </row>
    <row r="142">
      <c r="A142" s="67"/>
      <c r="B142" s="67"/>
      <c r="C142" s="67"/>
      <c r="D142" s="76"/>
      <c r="E142" s="77"/>
      <c r="F142" s="76"/>
      <c r="G142" s="78"/>
      <c r="H142" s="79"/>
      <c r="I142" s="77"/>
      <c r="J142" s="77"/>
      <c r="K142" s="77"/>
      <c r="L142" s="77"/>
      <c r="M142" s="77"/>
      <c r="N142" s="80"/>
      <c r="O142" s="74"/>
      <c r="P142" s="85"/>
      <c r="Q142" s="77"/>
      <c r="R142" s="81"/>
      <c r="S142" s="82"/>
      <c r="T142" s="73"/>
    </row>
    <row r="143">
      <c r="A143" s="67"/>
      <c r="B143" s="67"/>
      <c r="C143" s="67"/>
      <c r="D143" s="76"/>
      <c r="E143" s="77"/>
      <c r="F143" s="83"/>
      <c r="G143" s="80"/>
      <c r="H143" s="79"/>
      <c r="I143" s="79"/>
      <c r="J143" s="79"/>
      <c r="K143" s="79"/>
      <c r="L143" s="79"/>
      <c r="M143" s="79"/>
      <c r="N143" s="79"/>
      <c r="O143" s="79"/>
      <c r="P143" s="72"/>
      <c r="Q143" s="77"/>
      <c r="R143" s="77"/>
      <c r="S143" s="82"/>
    </row>
    <row r="144">
      <c r="A144" s="67"/>
      <c r="B144" s="67"/>
      <c r="C144" s="67"/>
      <c r="D144" s="76"/>
      <c r="E144" s="77"/>
      <c r="F144" s="76"/>
      <c r="G144" s="78"/>
      <c r="H144" s="79"/>
      <c r="I144" s="77"/>
      <c r="J144" s="77"/>
      <c r="K144" s="77"/>
      <c r="L144" s="77"/>
      <c r="M144" s="77"/>
      <c r="N144" s="80"/>
      <c r="O144" s="74"/>
      <c r="P144" s="85"/>
      <c r="Q144" s="77"/>
      <c r="R144" s="81"/>
      <c r="S144" s="82"/>
      <c r="T144" s="73"/>
    </row>
    <row r="145">
      <c r="A145" s="67"/>
      <c r="B145" s="67"/>
      <c r="C145" s="67"/>
      <c r="D145" s="76"/>
      <c r="E145" s="77"/>
      <c r="F145" s="83"/>
      <c r="G145" s="80"/>
      <c r="H145" s="79"/>
      <c r="I145" s="79"/>
      <c r="J145" s="79"/>
      <c r="K145" s="79"/>
      <c r="L145" s="79"/>
      <c r="M145" s="79"/>
      <c r="N145" s="79"/>
      <c r="O145" s="79"/>
      <c r="P145" s="72"/>
      <c r="Q145" s="77"/>
      <c r="R145" s="77"/>
      <c r="S145" s="82"/>
    </row>
    <row r="146">
      <c r="A146" s="67"/>
      <c r="B146" s="67"/>
      <c r="C146" s="67"/>
      <c r="D146" s="76"/>
      <c r="E146" s="77"/>
      <c r="F146" s="83"/>
      <c r="G146" s="80"/>
      <c r="H146" s="79"/>
      <c r="I146" s="79"/>
      <c r="J146" s="79"/>
      <c r="K146" s="79"/>
      <c r="L146" s="79"/>
      <c r="M146" s="79"/>
      <c r="N146" s="79"/>
      <c r="O146" s="79"/>
      <c r="P146" s="72"/>
      <c r="Q146" s="77"/>
      <c r="R146" s="77"/>
      <c r="S146" s="82"/>
      <c r="T146" s="73"/>
    </row>
    <row r="147">
      <c r="A147" s="67"/>
      <c r="B147" s="67"/>
      <c r="C147" s="67"/>
      <c r="D147" s="76"/>
      <c r="E147" s="77"/>
      <c r="F147" s="83"/>
      <c r="G147" s="80"/>
      <c r="H147" s="79"/>
      <c r="I147" s="79"/>
      <c r="J147" s="79"/>
      <c r="K147" s="79"/>
      <c r="L147" s="79"/>
      <c r="M147" s="79"/>
      <c r="N147" s="79"/>
      <c r="O147" s="79"/>
      <c r="P147" s="72"/>
      <c r="Q147" s="77"/>
      <c r="R147" s="77"/>
      <c r="S147" s="82"/>
    </row>
    <row r="148">
      <c r="A148" s="67"/>
      <c r="B148" s="67"/>
      <c r="C148" s="67"/>
      <c r="D148" s="76"/>
      <c r="E148" s="77"/>
      <c r="F148" s="83"/>
      <c r="G148" s="80"/>
      <c r="H148" s="79"/>
      <c r="I148" s="79"/>
      <c r="J148" s="79"/>
      <c r="K148" s="79"/>
      <c r="L148" s="79"/>
      <c r="M148" s="79"/>
      <c r="N148" s="79"/>
      <c r="O148" s="79"/>
      <c r="P148" s="72"/>
      <c r="Q148" s="77"/>
      <c r="R148" s="77"/>
      <c r="S148" s="82"/>
      <c r="T148" s="73"/>
    </row>
    <row r="149">
      <c r="A149" s="67"/>
      <c r="B149" s="67"/>
      <c r="C149" s="67"/>
      <c r="D149" s="76"/>
      <c r="E149" s="77"/>
      <c r="F149" s="83"/>
      <c r="G149" s="80"/>
      <c r="H149" s="79"/>
      <c r="I149" s="79"/>
      <c r="J149" s="79"/>
      <c r="K149" s="79"/>
      <c r="L149" s="79"/>
      <c r="M149" s="79"/>
      <c r="N149" s="79"/>
      <c r="O149" s="79"/>
      <c r="P149" s="72"/>
      <c r="Q149" s="77"/>
      <c r="R149" s="77"/>
      <c r="S149" s="82"/>
    </row>
    <row r="150">
      <c r="A150" s="67"/>
      <c r="B150" s="67"/>
      <c r="C150" s="67"/>
      <c r="D150" s="76"/>
      <c r="E150" s="77"/>
      <c r="F150" s="76"/>
      <c r="G150" s="78"/>
      <c r="H150" s="79"/>
      <c r="I150" s="77"/>
      <c r="J150" s="77"/>
      <c r="K150" s="77"/>
      <c r="L150" s="77"/>
      <c r="M150" s="77"/>
      <c r="N150" s="80"/>
      <c r="O150" s="74"/>
      <c r="P150" s="85"/>
      <c r="Q150" s="77"/>
      <c r="R150" s="81"/>
      <c r="S150" s="82"/>
      <c r="T150" s="73"/>
    </row>
    <row r="151">
      <c r="A151" s="67"/>
      <c r="B151" s="67"/>
      <c r="C151" s="67"/>
      <c r="D151" s="76"/>
      <c r="E151" s="77"/>
      <c r="F151" s="76"/>
      <c r="G151" s="78"/>
      <c r="H151" s="79"/>
      <c r="I151" s="77"/>
      <c r="J151" s="77"/>
      <c r="K151" s="77"/>
      <c r="L151" s="77"/>
      <c r="M151" s="77"/>
      <c r="N151" s="80"/>
      <c r="O151" s="74"/>
      <c r="P151" s="74"/>
      <c r="Q151" s="77"/>
      <c r="R151" s="81"/>
      <c r="S151" s="82"/>
      <c r="T151" s="73"/>
    </row>
    <row r="152">
      <c r="A152" s="67"/>
      <c r="B152" s="67"/>
      <c r="C152" s="67"/>
      <c r="D152" s="76"/>
      <c r="E152" s="77"/>
      <c r="F152" s="83"/>
      <c r="G152" s="80"/>
      <c r="H152" s="79"/>
      <c r="I152" s="79"/>
      <c r="J152" s="79"/>
      <c r="K152" s="79"/>
      <c r="L152" s="79"/>
      <c r="M152" s="79"/>
      <c r="N152" s="79"/>
      <c r="O152" s="79"/>
      <c r="P152" s="72"/>
      <c r="Q152" s="77"/>
      <c r="R152" s="77"/>
      <c r="S152" s="82"/>
    </row>
    <row r="153">
      <c r="A153" s="67"/>
      <c r="B153" s="67"/>
      <c r="C153" s="67"/>
      <c r="D153" s="76"/>
      <c r="E153" s="77"/>
      <c r="F153" s="83"/>
      <c r="G153" s="80"/>
      <c r="H153" s="79"/>
      <c r="I153" s="79"/>
      <c r="J153" s="79"/>
      <c r="K153" s="79"/>
      <c r="L153" s="79"/>
      <c r="M153" s="79"/>
      <c r="N153" s="79"/>
      <c r="O153" s="79"/>
      <c r="P153" s="72"/>
      <c r="Q153" s="77"/>
      <c r="R153" s="77"/>
      <c r="S153" s="82"/>
      <c r="T153" s="73"/>
    </row>
    <row r="154">
      <c r="A154" s="67"/>
      <c r="B154" s="67"/>
      <c r="C154" s="67"/>
      <c r="D154" s="76"/>
      <c r="E154" s="77"/>
      <c r="F154" s="83"/>
      <c r="G154" s="80"/>
      <c r="H154" s="79"/>
      <c r="I154" s="79"/>
      <c r="J154" s="79"/>
      <c r="K154" s="79"/>
      <c r="L154" s="79"/>
      <c r="M154" s="79"/>
      <c r="N154" s="79"/>
      <c r="O154" s="79"/>
      <c r="P154" s="72"/>
      <c r="Q154" s="77"/>
      <c r="R154" s="77"/>
      <c r="S154" s="82"/>
    </row>
    <row r="155">
      <c r="A155" s="67"/>
      <c r="B155" s="67"/>
      <c r="C155" s="67"/>
      <c r="D155" s="76"/>
      <c r="E155" s="77"/>
      <c r="F155" s="83"/>
      <c r="G155" s="80"/>
      <c r="H155" s="79"/>
      <c r="I155" s="79"/>
      <c r="J155" s="79"/>
      <c r="K155" s="79"/>
      <c r="L155" s="79"/>
      <c r="M155" s="79"/>
      <c r="N155" s="79"/>
      <c r="O155" s="79"/>
      <c r="P155" s="72"/>
      <c r="Q155" s="77"/>
      <c r="R155" s="77"/>
      <c r="S155" s="82"/>
      <c r="T155" s="73"/>
    </row>
    <row r="156">
      <c r="A156" s="67"/>
      <c r="B156" s="67"/>
      <c r="C156" s="67"/>
      <c r="D156" s="76"/>
      <c r="E156" s="77"/>
      <c r="F156" s="83"/>
      <c r="G156" s="80"/>
      <c r="H156" s="79"/>
      <c r="I156" s="79"/>
      <c r="J156" s="79"/>
      <c r="K156" s="79"/>
      <c r="L156" s="79"/>
      <c r="M156" s="79"/>
      <c r="N156" s="79"/>
      <c r="O156" s="79"/>
      <c r="P156" s="72"/>
      <c r="Q156" s="77"/>
      <c r="R156" s="77"/>
      <c r="S156" s="82"/>
      <c r="T156" s="73"/>
    </row>
    <row r="157">
      <c r="A157" s="67"/>
      <c r="B157" s="67"/>
      <c r="C157" s="67"/>
      <c r="D157" s="76"/>
      <c r="E157" s="77"/>
      <c r="F157" s="83"/>
      <c r="G157" s="80"/>
      <c r="H157" s="79"/>
      <c r="I157" s="79"/>
      <c r="J157" s="79"/>
      <c r="K157" s="79"/>
      <c r="L157" s="79"/>
      <c r="M157" s="79"/>
      <c r="N157" s="79"/>
      <c r="O157" s="79"/>
      <c r="P157" s="72"/>
      <c r="Q157" s="77"/>
      <c r="R157" s="77"/>
      <c r="S157" s="82"/>
      <c r="T157" s="73"/>
    </row>
    <row r="158">
      <c r="A158" s="67"/>
      <c r="B158" s="67"/>
      <c r="C158" s="67"/>
      <c r="D158" s="76"/>
      <c r="E158" s="77"/>
      <c r="F158" s="76"/>
      <c r="G158" s="78"/>
      <c r="H158" s="79"/>
      <c r="I158" s="77"/>
      <c r="J158" s="77"/>
      <c r="K158" s="77"/>
      <c r="L158" s="77"/>
      <c r="M158" s="77"/>
      <c r="N158" s="80"/>
      <c r="O158" s="74"/>
      <c r="P158" s="85"/>
      <c r="Q158" s="77"/>
      <c r="R158" s="81"/>
      <c r="S158" s="82"/>
      <c r="T158" s="73"/>
    </row>
    <row r="159">
      <c r="A159" s="67"/>
      <c r="B159" s="67"/>
      <c r="C159" s="67"/>
      <c r="D159" s="76"/>
      <c r="E159" s="77"/>
      <c r="F159" s="83"/>
      <c r="G159" s="80"/>
      <c r="H159" s="79"/>
      <c r="I159" s="79"/>
      <c r="J159" s="79"/>
      <c r="K159" s="79"/>
      <c r="L159" s="79"/>
      <c r="M159" s="79"/>
      <c r="N159" s="79"/>
      <c r="O159" s="79"/>
      <c r="P159" s="72"/>
      <c r="Q159" s="77"/>
      <c r="R159" s="77"/>
      <c r="S159" s="82"/>
      <c r="T159" s="73"/>
    </row>
    <row r="160">
      <c r="A160" s="67"/>
      <c r="B160" s="67"/>
      <c r="C160" s="67"/>
      <c r="D160" s="76"/>
      <c r="E160" s="77"/>
      <c r="F160" s="76"/>
      <c r="G160" s="78"/>
      <c r="H160" s="79"/>
      <c r="I160" s="77"/>
      <c r="J160" s="77"/>
      <c r="K160" s="77"/>
      <c r="L160" s="77"/>
      <c r="M160" s="77"/>
      <c r="N160" s="80"/>
      <c r="O160" s="74"/>
      <c r="P160" s="74"/>
      <c r="Q160" s="77"/>
      <c r="R160" s="81"/>
      <c r="S160" s="82"/>
      <c r="T160" s="73"/>
    </row>
    <row r="161">
      <c r="A161" s="67"/>
      <c r="B161" s="67"/>
      <c r="C161" s="67"/>
      <c r="D161" s="76"/>
      <c r="E161" s="77"/>
      <c r="F161" s="83"/>
      <c r="G161" s="80"/>
      <c r="H161" s="79"/>
      <c r="I161" s="79"/>
      <c r="J161" s="79"/>
      <c r="K161" s="79"/>
      <c r="L161" s="79"/>
      <c r="M161" s="79"/>
      <c r="N161" s="79"/>
      <c r="O161" s="79"/>
      <c r="P161" s="72"/>
      <c r="Q161" s="77"/>
      <c r="R161" s="77"/>
      <c r="S161" s="82"/>
    </row>
    <row r="162">
      <c r="A162" s="67"/>
      <c r="B162" s="67"/>
      <c r="C162" s="67"/>
      <c r="D162" s="76"/>
      <c r="E162" s="77"/>
      <c r="F162" s="83"/>
      <c r="G162" s="80"/>
      <c r="H162" s="79"/>
      <c r="I162" s="79"/>
      <c r="J162" s="79"/>
      <c r="K162" s="79"/>
      <c r="L162" s="79"/>
      <c r="M162" s="79"/>
      <c r="N162" s="79"/>
      <c r="O162" s="79"/>
      <c r="P162" s="72"/>
      <c r="Q162" s="77"/>
      <c r="R162" s="77"/>
      <c r="S162" s="82"/>
      <c r="T162" s="73"/>
    </row>
    <row r="163">
      <c r="A163" s="67"/>
      <c r="B163" s="67"/>
      <c r="C163" s="67"/>
      <c r="D163" s="76"/>
      <c r="E163" s="77"/>
      <c r="F163" s="83"/>
      <c r="G163" s="80"/>
      <c r="H163" s="79"/>
      <c r="I163" s="79"/>
      <c r="J163" s="79"/>
      <c r="K163" s="79"/>
      <c r="L163" s="79"/>
      <c r="M163" s="79"/>
      <c r="N163" s="79"/>
      <c r="O163" s="79"/>
      <c r="P163" s="72"/>
      <c r="Q163" s="77"/>
      <c r="R163" s="77"/>
      <c r="S163" s="82"/>
    </row>
    <row r="164">
      <c r="A164" s="67"/>
      <c r="B164" s="67"/>
      <c r="C164" s="67"/>
      <c r="D164" s="76"/>
      <c r="E164" s="77"/>
      <c r="F164" s="83"/>
      <c r="G164" s="80"/>
      <c r="H164" s="79"/>
      <c r="I164" s="79"/>
      <c r="J164" s="79"/>
      <c r="K164" s="79"/>
      <c r="L164" s="79"/>
      <c r="M164" s="79"/>
      <c r="N164" s="79"/>
      <c r="O164" s="79"/>
      <c r="P164" s="72"/>
      <c r="Q164" s="77"/>
      <c r="R164" s="77"/>
      <c r="S164" s="82"/>
    </row>
    <row r="165">
      <c r="A165" s="67"/>
      <c r="B165" s="67"/>
      <c r="C165" s="67"/>
      <c r="D165" s="76"/>
      <c r="E165" s="77"/>
      <c r="F165" s="83"/>
      <c r="G165" s="80"/>
      <c r="H165" s="79"/>
      <c r="I165" s="79"/>
      <c r="J165" s="79"/>
      <c r="K165" s="79"/>
      <c r="L165" s="79"/>
      <c r="M165" s="79"/>
      <c r="N165" s="79"/>
      <c r="O165" s="79"/>
      <c r="P165" s="72"/>
      <c r="Q165" s="77"/>
      <c r="R165" s="77"/>
      <c r="S165" s="82"/>
      <c r="T165" s="73"/>
    </row>
    <row r="166">
      <c r="A166" s="67"/>
      <c r="B166" s="67"/>
      <c r="C166" s="67"/>
      <c r="D166" s="76"/>
      <c r="E166" s="77"/>
      <c r="F166" s="76"/>
      <c r="G166" s="78"/>
      <c r="H166" s="79"/>
      <c r="I166" s="77"/>
      <c r="J166" s="77"/>
      <c r="K166" s="77"/>
      <c r="L166" s="77"/>
      <c r="M166" s="77"/>
      <c r="N166" s="80"/>
      <c r="O166" s="74"/>
      <c r="P166" s="85"/>
      <c r="Q166" s="77"/>
      <c r="R166" s="81"/>
      <c r="S166" s="82"/>
      <c r="T166" s="73"/>
    </row>
    <row r="167">
      <c r="A167" s="67"/>
      <c r="B167" s="67"/>
      <c r="C167" s="67"/>
      <c r="D167" s="76"/>
      <c r="E167" s="77"/>
      <c r="F167" s="83"/>
      <c r="G167" s="80"/>
      <c r="H167" s="79"/>
      <c r="I167" s="79"/>
      <c r="J167" s="79"/>
      <c r="K167" s="79"/>
      <c r="L167" s="79"/>
      <c r="M167" s="79"/>
      <c r="N167" s="79"/>
      <c r="O167" s="79"/>
      <c r="P167" s="72"/>
      <c r="Q167" s="77"/>
      <c r="R167" s="77"/>
      <c r="S167" s="82"/>
      <c r="T167" s="73"/>
    </row>
    <row r="168">
      <c r="A168" s="67"/>
      <c r="B168" s="67"/>
      <c r="C168" s="67"/>
      <c r="D168" s="76"/>
      <c r="E168" s="77"/>
      <c r="F168" s="83"/>
      <c r="G168" s="80"/>
      <c r="H168" s="79"/>
      <c r="I168" s="79"/>
      <c r="J168" s="79"/>
      <c r="K168" s="79"/>
      <c r="L168" s="79"/>
      <c r="M168" s="79"/>
      <c r="N168" s="79"/>
      <c r="O168" s="79"/>
      <c r="P168" s="72"/>
      <c r="Q168" s="77"/>
      <c r="R168" s="77"/>
      <c r="S168" s="82"/>
      <c r="T168" s="73"/>
    </row>
    <row r="169">
      <c r="A169" s="67"/>
      <c r="B169" s="67"/>
      <c r="C169" s="67"/>
      <c r="D169" s="76"/>
      <c r="E169" s="77"/>
      <c r="F169" s="83"/>
      <c r="G169" s="80"/>
      <c r="H169" s="79"/>
      <c r="I169" s="79"/>
      <c r="J169" s="79"/>
      <c r="K169" s="79"/>
      <c r="L169" s="79"/>
      <c r="M169" s="79"/>
      <c r="N169" s="79"/>
      <c r="O169" s="79"/>
      <c r="P169" s="72"/>
      <c r="Q169" s="77"/>
      <c r="R169" s="77"/>
      <c r="S169" s="82"/>
    </row>
    <row r="170">
      <c r="A170" s="67"/>
      <c r="B170" s="67"/>
      <c r="C170" s="67"/>
      <c r="D170" s="76"/>
      <c r="E170" s="77"/>
      <c r="F170" s="76"/>
      <c r="G170" s="78"/>
      <c r="H170" s="79"/>
      <c r="I170" s="77"/>
      <c r="J170" s="77"/>
      <c r="K170" s="77"/>
      <c r="L170" s="77"/>
      <c r="M170" s="77"/>
      <c r="N170" s="80"/>
      <c r="O170" s="74"/>
      <c r="P170" s="85"/>
      <c r="Q170" s="77"/>
      <c r="R170" s="81"/>
      <c r="S170" s="82"/>
      <c r="T170" s="73"/>
    </row>
    <row r="171">
      <c r="A171" s="67"/>
      <c r="B171" s="67"/>
      <c r="C171" s="67"/>
      <c r="D171" s="76"/>
      <c r="E171" s="77"/>
      <c r="F171" s="83"/>
      <c r="G171" s="80"/>
      <c r="H171" s="79"/>
      <c r="I171" s="79"/>
      <c r="J171" s="79"/>
      <c r="K171" s="79"/>
      <c r="L171" s="79"/>
      <c r="M171" s="79"/>
      <c r="N171" s="79"/>
      <c r="O171" s="79"/>
      <c r="P171" s="72"/>
      <c r="Q171" s="77"/>
      <c r="R171" s="77"/>
      <c r="S171" s="82"/>
      <c r="T171" s="73"/>
    </row>
    <row r="172">
      <c r="A172" s="67"/>
      <c r="B172" s="67"/>
      <c r="C172" s="67"/>
      <c r="D172" s="76"/>
      <c r="E172" s="77"/>
      <c r="F172" s="83"/>
      <c r="G172" s="80"/>
      <c r="H172" s="79"/>
      <c r="I172" s="79"/>
      <c r="J172" s="79"/>
      <c r="K172" s="79"/>
      <c r="L172" s="79"/>
      <c r="M172" s="79"/>
      <c r="N172" s="79"/>
      <c r="O172" s="79"/>
      <c r="P172" s="72"/>
      <c r="Q172" s="77"/>
      <c r="R172" s="77"/>
      <c r="S172" s="82"/>
    </row>
    <row r="173">
      <c r="A173" s="67"/>
      <c r="B173" s="67"/>
      <c r="C173" s="67"/>
      <c r="D173" s="76"/>
      <c r="E173" s="77"/>
      <c r="F173" s="83"/>
      <c r="G173" s="80"/>
      <c r="H173" s="79"/>
      <c r="I173" s="79"/>
      <c r="J173" s="79"/>
      <c r="K173" s="79"/>
      <c r="L173" s="79"/>
      <c r="M173" s="79"/>
      <c r="N173" s="79"/>
      <c r="O173" s="79"/>
      <c r="P173" s="72"/>
      <c r="Q173" s="77"/>
      <c r="R173" s="77"/>
      <c r="S173" s="82"/>
      <c r="T173" s="73"/>
    </row>
    <row r="174">
      <c r="A174" s="67"/>
      <c r="B174" s="67"/>
      <c r="C174" s="67"/>
      <c r="D174" s="76"/>
      <c r="E174" s="77"/>
      <c r="F174" s="83"/>
      <c r="G174" s="80"/>
      <c r="H174" s="79"/>
      <c r="I174" s="79"/>
      <c r="J174" s="79"/>
      <c r="K174" s="79"/>
      <c r="L174" s="79"/>
      <c r="M174" s="79"/>
      <c r="N174" s="79"/>
      <c r="O174" s="79"/>
      <c r="P174" s="72"/>
      <c r="Q174" s="77"/>
      <c r="R174" s="77"/>
      <c r="S174" s="82"/>
      <c r="T174" s="73"/>
    </row>
    <row r="175">
      <c r="A175" s="67"/>
      <c r="B175" s="67"/>
      <c r="C175" s="67"/>
      <c r="D175" s="76"/>
      <c r="E175" s="77"/>
      <c r="F175" s="76"/>
      <c r="G175" s="78"/>
      <c r="H175" s="79"/>
      <c r="I175" s="77"/>
      <c r="J175" s="77"/>
      <c r="K175" s="77"/>
      <c r="L175" s="77"/>
      <c r="M175" s="77"/>
      <c r="N175" s="80"/>
      <c r="O175" s="74"/>
      <c r="P175" s="74"/>
      <c r="Q175" s="77"/>
      <c r="R175" s="81"/>
      <c r="S175" s="82"/>
      <c r="T175" s="73"/>
    </row>
    <row r="176">
      <c r="A176" s="67"/>
      <c r="B176" s="67"/>
      <c r="C176" s="67"/>
      <c r="D176" s="76"/>
      <c r="E176" s="77"/>
      <c r="F176" s="83"/>
      <c r="G176" s="80"/>
      <c r="H176" s="79"/>
      <c r="I176" s="79"/>
      <c r="J176" s="79"/>
      <c r="K176" s="79"/>
      <c r="L176" s="79"/>
      <c r="M176" s="79"/>
      <c r="N176" s="79"/>
      <c r="O176" s="79"/>
      <c r="P176" s="72"/>
      <c r="Q176" s="77"/>
      <c r="R176" s="77"/>
      <c r="S176" s="82"/>
      <c r="T176" s="73"/>
    </row>
    <row r="177">
      <c r="A177" s="67"/>
      <c r="B177" s="67"/>
      <c r="C177" s="67"/>
      <c r="D177" s="76"/>
      <c r="E177" s="77"/>
      <c r="F177" s="83"/>
      <c r="G177" s="80"/>
      <c r="H177" s="79"/>
      <c r="I177" s="79"/>
      <c r="J177" s="79"/>
      <c r="K177" s="79"/>
      <c r="L177" s="79"/>
      <c r="M177" s="79"/>
      <c r="N177" s="79"/>
      <c r="O177" s="79"/>
      <c r="P177" s="72"/>
      <c r="Q177" s="77"/>
      <c r="R177" s="77"/>
      <c r="S177" s="82"/>
      <c r="T177" s="73"/>
    </row>
    <row r="178">
      <c r="A178" s="67"/>
      <c r="B178" s="67"/>
      <c r="C178" s="67"/>
      <c r="D178" s="76"/>
      <c r="E178" s="77"/>
      <c r="F178" s="76"/>
      <c r="G178" s="78"/>
      <c r="H178" s="79"/>
      <c r="I178" s="77"/>
      <c r="J178" s="77"/>
      <c r="K178" s="77"/>
      <c r="L178" s="77"/>
      <c r="M178" s="77"/>
      <c r="N178" s="80"/>
      <c r="O178" s="74"/>
      <c r="P178" s="74"/>
      <c r="Q178" s="77"/>
      <c r="R178" s="81"/>
      <c r="S178" s="82"/>
      <c r="T178" s="73"/>
    </row>
    <row r="179">
      <c r="A179" s="67"/>
      <c r="B179" s="67"/>
      <c r="C179" s="67"/>
      <c r="D179" s="76"/>
      <c r="E179" s="77"/>
      <c r="F179" s="76"/>
      <c r="G179" s="78"/>
      <c r="H179" s="79"/>
      <c r="I179" s="77"/>
      <c r="J179" s="77"/>
      <c r="K179" s="77"/>
      <c r="L179" s="77"/>
      <c r="M179" s="77"/>
      <c r="N179" s="80"/>
      <c r="O179" s="74"/>
      <c r="P179" s="74"/>
      <c r="Q179" s="77"/>
      <c r="R179" s="81"/>
      <c r="S179" s="82"/>
      <c r="T179" s="73"/>
    </row>
    <row r="180">
      <c r="A180" s="67"/>
      <c r="B180" s="67"/>
      <c r="C180" s="67"/>
      <c r="D180" s="76"/>
      <c r="E180" s="77"/>
      <c r="F180" s="76"/>
      <c r="G180" s="78"/>
      <c r="H180" s="79"/>
      <c r="I180" s="77"/>
      <c r="J180" s="77"/>
      <c r="K180" s="77"/>
      <c r="L180" s="77"/>
      <c r="M180" s="77"/>
      <c r="N180" s="80"/>
      <c r="O180" s="74"/>
      <c r="P180" s="85"/>
      <c r="Q180" s="77"/>
      <c r="R180" s="81"/>
      <c r="S180" s="82"/>
      <c r="T180" s="73"/>
    </row>
    <row r="181">
      <c r="A181" s="67"/>
      <c r="B181" s="67"/>
      <c r="C181" s="67"/>
      <c r="D181" s="76"/>
      <c r="E181" s="77"/>
      <c r="F181" s="83"/>
      <c r="G181" s="80"/>
      <c r="H181" s="79"/>
      <c r="I181" s="79"/>
      <c r="J181" s="79"/>
      <c r="K181" s="79"/>
      <c r="L181" s="79"/>
      <c r="M181" s="79"/>
      <c r="N181" s="79"/>
      <c r="O181" s="79"/>
      <c r="P181" s="72"/>
      <c r="Q181" s="77"/>
      <c r="R181" s="77"/>
      <c r="S181" s="82"/>
    </row>
    <row r="182">
      <c r="A182" s="67"/>
      <c r="B182" s="67"/>
      <c r="C182" s="67"/>
      <c r="D182" s="76"/>
      <c r="E182" s="77"/>
      <c r="F182" s="83"/>
      <c r="G182" s="80"/>
      <c r="H182" s="79"/>
      <c r="I182" s="79"/>
      <c r="J182" s="79"/>
      <c r="K182" s="79"/>
      <c r="L182" s="79"/>
      <c r="M182" s="79"/>
      <c r="N182" s="79"/>
      <c r="O182" s="79"/>
      <c r="P182" s="72"/>
      <c r="Q182" s="77"/>
      <c r="R182" s="77"/>
      <c r="S182" s="82"/>
    </row>
    <row r="183">
      <c r="A183" s="67"/>
      <c r="B183" s="67"/>
      <c r="C183" s="67"/>
      <c r="D183" s="76"/>
      <c r="E183" s="77"/>
      <c r="F183" s="76"/>
      <c r="G183" s="78"/>
      <c r="H183" s="79"/>
      <c r="I183" s="77"/>
      <c r="J183" s="77"/>
      <c r="K183" s="77"/>
      <c r="L183" s="77"/>
      <c r="M183" s="77"/>
      <c r="N183" s="80"/>
      <c r="O183" s="74"/>
      <c r="P183" s="74"/>
      <c r="Q183" s="77"/>
      <c r="R183" s="81"/>
      <c r="S183" s="82"/>
      <c r="T183" s="73"/>
    </row>
    <row r="184">
      <c r="A184" s="67"/>
      <c r="B184" s="67"/>
      <c r="C184" s="67"/>
      <c r="D184" s="76"/>
      <c r="E184" s="77"/>
      <c r="F184" s="83"/>
      <c r="G184" s="80"/>
      <c r="H184" s="79"/>
      <c r="I184" s="79"/>
      <c r="J184" s="79"/>
      <c r="K184" s="79"/>
      <c r="L184" s="79"/>
      <c r="M184" s="79"/>
      <c r="N184" s="79"/>
      <c r="O184" s="79"/>
      <c r="P184" s="72"/>
      <c r="Q184" s="77"/>
      <c r="R184" s="77"/>
      <c r="S184" s="82"/>
    </row>
    <row r="185">
      <c r="A185" s="67"/>
      <c r="B185" s="67"/>
      <c r="C185" s="67"/>
      <c r="D185" s="76"/>
      <c r="E185" s="77"/>
      <c r="F185" s="83"/>
      <c r="G185" s="80"/>
      <c r="H185" s="79"/>
      <c r="I185" s="79"/>
      <c r="J185" s="79"/>
      <c r="K185" s="79"/>
      <c r="L185" s="79"/>
      <c r="M185" s="79"/>
      <c r="N185" s="79"/>
      <c r="O185" s="79"/>
      <c r="P185" s="72"/>
      <c r="Q185" s="77"/>
      <c r="R185" s="77"/>
      <c r="S185" s="82"/>
      <c r="T185" s="73"/>
    </row>
    <row r="186">
      <c r="A186" s="67"/>
      <c r="B186" s="67"/>
      <c r="C186" s="67"/>
      <c r="D186" s="76"/>
      <c r="E186" s="77"/>
      <c r="F186" s="83"/>
      <c r="G186" s="80"/>
      <c r="H186" s="79"/>
      <c r="I186" s="79"/>
      <c r="J186" s="79"/>
      <c r="K186" s="79"/>
      <c r="L186" s="79"/>
      <c r="M186" s="79"/>
      <c r="N186" s="79"/>
      <c r="O186" s="79"/>
      <c r="P186" s="72"/>
      <c r="Q186" s="77"/>
      <c r="R186" s="77"/>
      <c r="S186" s="82"/>
    </row>
    <row r="187">
      <c r="A187" s="67"/>
      <c r="B187" s="67"/>
      <c r="C187" s="67"/>
      <c r="D187" s="76"/>
      <c r="E187" s="77"/>
      <c r="F187" s="83"/>
      <c r="G187" s="80"/>
      <c r="H187" s="79"/>
      <c r="I187" s="79"/>
      <c r="J187" s="79"/>
      <c r="K187" s="79"/>
      <c r="L187" s="79"/>
      <c r="M187" s="79"/>
      <c r="N187" s="79"/>
      <c r="O187" s="79"/>
      <c r="P187" s="72"/>
      <c r="Q187" s="77"/>
      <c r="R187" s="77"/>
      <c r="S187" s="82"/>
      <c r="T187" s="73"/>
    </row>
    <row r="188">
      <c r="A188" s="67"/>
      <c r="B188" s="67"/>
      <c r="C188" s="67"/>
      <c r="D188" s="76"/>
      <c r="E188" s="77"/>
      <c r="F188" s="83"/>
      <c r="G188" s="80"/>
      <c r="H188" s="79"/>
      <c r="I188" s="79"/>
      <c r="J188" s="79"/>
      <c r="K188" s="79"/>
      <c r="L188" s="79"/>
      <c r="M188" s="79"/>
      <c r="N188" s="79"/>
      <c r="O188" s="79"/>
      <c r="P188" s="72"/>
      <c r="Q188" s="77"/>
      <c r="R188" s="77"/>
      <c r="S188" s="82"/>
      <c r="T188" s="73"/>
    </row>
    <row r="189">
      <c r="A189" s="67"/>
      <c r="B189" s="67"/>
      <c r="C189" s="67"/>
      <c r="D189" s="76"/>
      <c r="E189" s="77"/>
      <c r="F189" s="83"/>
      <c r="G189" s="80"/>
      <c r="H189" s="79"/>
      <c r="I189" s="79"/>
      <c r="J189" s="79"/>
      <c r="K189" s="79"/>
      <c r="L189" s="79"/>
      <c r="M189" s="79"/>
      <c r="N189" s="79"/>
      <c r="O189" s="79"/>
      <c r="P189" s="72"/>
      <c r="Q189" s="77"/>
      <c r="R189" s="77"/>
      <c r="S189" s="82"/>
    </row>
    <row r="190">
      <c r="A190" s="67"/>
      <c r="B190" s="67"/>
      <c r="C190" s="67"/>
      <c r="D190" s="76"/>
      <c r="E190" s="77"/>
      <c r="F190" s="83"/>
      <c r="G190" s="80"/>
      <c r="H190" s="79"/>
      <c r="I190" s="79"/>
      <c r="J190" s="79"/>
      <c r="K190" s="79"/>
      <c r="L190" s="79"/>
      <c r="M190" s="79"/>
      <c r="N190" s="79"/>
      <c r="O190" s="79"/>
      <c r="P190" s="72"/>
      <c r="Q190" s="77"/>
      <c r="R190" s="77"/>
      <c r="S190" s="82"/>
    </row>
    <row r="191">
      <c r="A191" s="67"/>
      <c r="B191" s="67"/>
      <c r="C191" s="67"/>
      <c r="D191" s="76"/>
      <c r="E191" s="77"/>
      <c r="F191" s="76"/>
      <c r="G191" s="78"/>
      <c r="H191" s="79"/>
      <c r="I191" s="77"/>
      <c r="J191" s="77"/>
      <c r="K191" s="77"/>
      <c r="L191" s="77"/>
      <c r="M191" s="77"/>
      <c r="N191" s="80"/>
      <c r="O191" s="74"/>
      <c r="P191" s="74"/>
      <c r="Q191" s="77"/>
      <c r="R191" s="81"/>
      <c r="S191" s="82"/>
      <c r="T191" s="73"/>
    </row>
    <row r="192">
      <c r="A192" s="67"/>
      <c r="B192" s="67"/>
      <c r="C192" s="67"/>
      <c r="D192" s="76"/>
      <c r="E192" s="77"/>
      <c r="F192" s="83"/>
      <c r="G192" s="80"/>
      <c r="H192" s="79"/>
      <c r="I192" s="79"/>
      <c r="J192" s="79"/>
      <c r="K192" s="79"/>
      <c r="L192" s="79"/>
      <c r="M192" s="79"/>
      <c r="N192" s="79"/>
      <c r="O192" s="79"/>
      <c r="P192" s="72"/>
      <c r="Q192" s="77"/>
      <c r="R192" s="77"/>
      <c r="S192" s="82"/>
      <c r="T192" s="73"/>
    </row>
    <row r="193">
      <c r="A193" s="67"/>
      <c r="B193" s="67"/>
      <c r="C193" s="67"/>
      <c r="D193" s="76"/>
      <c r="E193" s="77"/>
      <c r="F193" s="83"/>
      <c r="G193" s="80"/>
      <c r="H193" s="79"/>
      <c r="I193" s="79"/>
      <c r="J193" s="79"/>
      <c r="K193" s="79"/>
      <c r="L193" s="79"/>
      <c r="M193" s="79"/>
      <c r="N193" s="79"/>
      <c r="O193" s="79"/>
      <c r="P193" s="72"/>
      <c r="Q193" s="77"/>
      <c r="R193" s="77"/>
      <c r="S193" s="82"/>
    </row>
    <row r="194">
      <c r="A194" s="67"/>
      <c r="B194" s="67"/>
      <c r="C194" s="67"/>
      <c r="D194" s="76"/>
      <c r="E194" s="77"/>
      <c r="F194" s="83"/>
      <c r="G194" s="80"/>
      <c r="H194" s="79"/>
      <c r="I194" s="79"/>
      <c r="J194" s="79"/>
      <c r="K194" s="79"/>
      <c r="L194" s="79"/>
      <c r="M194" s="79"/>
      <c r="N194" s="79"/>
      <c r="O194" s="79"/>
      <c r="P194" s="72"/>
      <c r="Q194" s="77"/>
      <c r="R194" s="77"/>
      <c r="S194" s="82"/>
    </row>
    <row r="195">
      <c r="A195" s="67"/>
      <c r="B195" s="67"/>
      <c r="C195" s="67"/>
      <c r="D195" s="76"/>
      <c r="E195" s="77"/>
      <c r="F195" s="83"/>
      <c r="G195" s="80"/>
      <c r="H195" s="79"/>
      <c r="I195" s="79"/>
      <c r="J195" s="79"/>
      <c r="K195" s="79"/>
      <c r="L195" s="79"/>
      <c r="M195" s="79"/>
      <c r="N195" s="79"/>
      <c r="O195" s="79"/>
      <c r="P195" s="72"/>
      <c r="Q195" s="77"/>
      <c r="R195" s="77"/>
      <c r="S195" s="82"/>
      <c r="T195" s="73"/>
    </row>
    <row r="196">
      <c r="A196" s="67"/>
      <c r="B196" s="67"/>
      <c r="C196" s="67"/>
      <c r="D196" s="76"/>
      <c r="E196" s="77"/>
      <c r="F196" s="83"/>
      <c r="G196" s="80"/>
      <c r="H196" s="79"/>
      <c r="I196" s="79"/>
      <c r="J196" s="79"/>
      <c r="K196" s="79"/>
      <c r="L196" s="79"/>
      <c r="M196" s="79"/>
      <c r="N196" s="79"/>
      <c r="O196" s="79"/>
      <c r="P196" s="72"/>
      <c r="Q196" s="77"/>
      <c r="R196" s="77"/>
      <c r="S196" s="82"/>
      <c r="T196" s="73"/>
    </row>
    <row r="197">
      <c r="A197" s="67"/>
      <c r="B197" s="67"/>
      <c r="C197" s="67"/>
      <c r="D197" s="76"/>
      <c r="E197" s="77"/>
      <c r="F197" s="76"/>
      <c r="G197" s="78"/>
      <c r="H197" s="79"/>
      <c r="I197" s="77"/>
      <c r="J197" s="77"/>
      <c r="K197" s="77"/>
      <c r="L197" s="77"/>
      <c r="M197" s="77"/>
      <c r="N197" s="80"/>
      <c r="O197" s="74"/>
      <c r="P197" s="85"/>
      <c r="Q197" s="77"/>
      <c r="R197" s="81"/>
      <c r="S197" s="82"/>
      <c r="T197" s="73"/>
    </row>
    <row r="198">
      <c r="A198" s="67"/>
      <c r="B198" s="67"/>
      <c r="C198" s="67"/>
      <c r="D198" s="76"/>
      <c r="E198" s="77"/>
      <c r="F198" s="76"/>
      <c r="G198" s="78"/>
      <c r="H198" s="79"/>
      <c r="I198" s="77"/>
      <c r="J198" s="77"/>
      <c r="K198" s="77"/>
      <c r="L198" s="77"/>
      <c r="M198" s="77"/>
      <c r="N198" s="80"/>
      <c r="O198" s="74"/>
      <c r="P198" s="85"/>
      <c r="Q198" s="77"/>
      <c r="R198" s="81"/>
      <c r="S198" s="82"/>
      <c r="T198" s="73"/>
    </row>
    <row r="199">
      <c r="A199" s="67"/>
      <c r="B199" s="67"/>
      <c r="C199" s="67"/>
      <c r="D199" s="76"/>
      <c r="E199" s="77"/>
      <c r="F199" s="83"/>
      <c r="G199" s="80"/>
      <c r="H199" s="79"/>
      <c r="I199" s="79"/>
      <c r="J199" s="79"/>
      <c r="K199" s="79"/>
      <c r="L199" s="79"/>
      <c r="M199" s="79"/>
      <c r="N199" s="79"/>
      <c r="O199" s="79"/>
      <c r="P199" s="72"/>
      <c r="Q199" s="77"/>
      <c r="R199" s="77"/>
      <c r="S199" s="82"/>
      <c r="T199" s="73"/>
    </row>
    <row r="200">
      <c r="A200" s="67"/>
      <c r="B200" s="67"/>
      <c r="C200" s="67"/>
      <c r="D200" s="76"/>
      <c r="E200" s="77"/>
      <c r="F200" s="83"/>
      <c r="G200" s="80"/>
      <c r="H200" s="79"/>
      <c r="I200" s="79"/>
      <c r="J200" s="79"/>
      <c r="K200" s="79"/>
      <c r="L200" s="79"/>
      <c r="M200" s="79"/>
      <c r="N200" s="79"/>
      <c r="O200" s="79"/>
      <c r="P200" s="72"/>
      <c r="Q200" s="77"/>
      <c r="R200" s="77"/>
      <c r="S200" s="82"/>
    </row>
    <row r="201">
      <c r="A201" s="67"/>
      <c r="B201" s="67"/>
      <c r="C201" s="67"/>
      <c r="D201" s="76"/>
      <c r="E201" s="77"/>
      <c r="F201" s="83"/>
      <c r="G201" s="80"/>
      <c r="H201" s="79"/>
      <c r="I201" s="79"/>
      <c r="J201" s="79"/>
      <c r="K201" s="79"/>
      <c r="L201" s="79"/>
      <c r="M201" s="79"/>
      <c r="N201" s="79"/>
      <c r="O201" s="79"/>
      <c r="P201" s="72"/>
      <c r="Q201" s="77"/>
      <c r="R201" s="77"/>
      <c r="S201" s="82"/>
      <c r="T201" s="73"/>
    </row>
    <row r="202">
      <c r="A202" s="67"/>
      <c r="B202" s="67"/>
      <c r="C202" s="67"/>
      <c r="D202" s="76"/>
      <c r="E202" s="77"/>
      <c r="F202" s="76"/>
      <c r="G202" s="78"/>
      <c r="H202" s="79"/>
      <c r="I202" s="77"/>
      <c r="J202" s="77"/>
      <c r="K202" s="77"/>
      <c r="L202" s="77"/>
      <c r="M202" s="77"/>
      <c r="N202" s="80"/>
      <c r="O202" s="74"/>
      <c r="P202" s="85"/>
      <c r="Q202" s="77"/>
      <c r="R202" s="81"/>
      <c r="S202" s="82"/>
      <c r="T202" s="73"/>
    </row>
    <row r="203">
      <c r="A203" s="67"/>
      <c r="B203" s="67"/>
      <c r="C203" s="67"/>
      <c r="D203" s="76"/>
      <c r="E203" s="77"/>
      <c r="F203" s="83"/>
      <c r="G203" s="80"/>
      <c r="H203" s="79"/>
      <c r="I203" s="79"/>
      <c r="J203" s="79"/>
      <c r="K203" s="79"/>
      <c r="L203" s="79"/>
      <c r="M203" s="79"/>
      <c r="N203" s="79"/>
      <c r="O203" s="79"/>
      <c r="P203" s="72"/>
      <c r="Q203" s="77"/>
      <c r="R203" s="77"/>
      <c r="S203" s="82"/>
      <c r="T203" s="73"/>
    </row>
    <row r="204">
      <c r="A204" s="67"/>
      <c r="B204" s="67"/>
      <c r="C204" s="67"/>
      <c r="D204" s="76"/>
      <c r="E204" s="77"/>
      <c r="F204" s="83"/>
      <c r="G204" s="80"/>
      <c r="H204" s="79"/>
      <c r="I204" s="79"/>
      <c r="J204" s="79"/>
      <c r="K204" s="79"/>
      <c r="L204" s="79"/>
      <c r="M204" s="79"/>
      <c r="N204" s="79"/>
      <c r="O204" s="79"/>
      <c r="P204" s="72"/>
      <c r="Q204" s="77"/>
      <c r="R204" s="77"/>
      <c r="S204" s="82"/>
      <c r="T204" s="73"/>
    </row>
    <row r="205">
      <c r="A205" s="67"/>
      <c r="B205" s="67"/>
      <c r="C205" s="67"/>
      <c r="D205" s="76"/>
      <c r="E205" s="77"/>
      <c r="F205" s="83"/>
      <c r="G205" s="80"/>
      <c r="H205" s="79"/>
      <c r="I205" s="79"/>
      <c r="J205" s="79"/>
      <c r="K205" s="79"/>
      <c r="L205" s="79"/>
      <c r="M205" s="79"/>
      <c r="N205" s="79"/>
      <c r="O205" s="79"/>
      <c r="P205" s="72"/>
      <c r="Q205" s="77"/>
      <c r="R205" s="77"/>
      <c r="S205" s="82"/>
    </row>
    <row r="206">
      <c r="A206" s="67"/>
      <c r="B206" s="67"/>
      <c r="C206" s="67"/>
      <c r="D206" s="76"/>
      <c r="E206" s="77"/>
      <c r="F206" s="83"/>
      <c r="G206" s="80"/>
      <c r="H206" s="79"/>
      <c r="I206" s="79"/>
      <c r="J206" s="79"/>
      <c r="K206" s="79"/>
      <c r="L206" s="79"/>
      <c r="M206" s="79"/>
      <c r="N206" s="79"/>
      <c r="O206" s="79"/>
      <c r="P206" s="72"/>
      <c r="Q206" s="77"/>
      <c r="R206" s="77"/>
      <c r="S206" s="82"/>
      <c r="T206" s="73"/>
    </row>
    <row r="207">
      <c r="A207" s="67"/>
      <c r="B207" s="67"/>
      <c r="C207" s="67"/>
      <c r="D207" s="76"/>
      <c r="E207" s="77"/>
      <c r="F207" s="83"/>
      <c r="G207" s="80"/>
      <c r="H207" s="79"/>
      <c r="I207" s="79"/>
      <c r="J207" s="79"/>
      <c r="K207" s="79"/>
      <c r="L207" s="79"/>
      <c r="M207" s="79"/>
      <c r="N207" s="79"/>
      <c r="O207" s="79"/>
      <c r="P207" s="72"/>
      <c r="Q207" s="77"/>
      <c r="R207" s="77"/>
      <c r="S207" s="82"/>
      <c r="T207" s="73"/>
    </row>
    <row r="208">
      <c r="A208" s="67"/>
      <c r="B208" s="67"/>
      <c r="C208" s="67"/>
      <c r="D208" s="76"/>
      <c r="E208" s="77"/>
      <c r="F208" s="76"/>
      <c r="G208" s="78"/>
      <c r="H208" s="79"/>
      <c r="I208" s="77"/>
      <c r="J208" s="77"/>
      <c r="K208" s="77"/>
      <c r="L208" s="77"/>
      <c r="M208" s="77"/>
      <c r="N208" s="80"/>
      <c r="O208" s="74"/>
      <c r="P208" s="74"/>
      <c r="Q208" s="77"/>
      <c r="R208" s="81"/>
      <c r="S208" s="82"/>
      <c r="T208" s="73"/>
    </row>
    <row r="209">
      <c r="A209" s="67"/>
      <c r="B209" s="67"/>
      <c r="C209" s="67"/>
      <c r="D209" s="76"/>
      <c r="E209" s="77"/>
      <c r="F209" s="83"/>
      <c r="G209" s="80"/>
      <c r="H209" s="79"/>
      <c r="I209" s="79"/>
      <c r="J209" s="79"/>
      <c r="K209" s="79"/>
      <c r="L209" s="79"/>
      <c r="M209" s="79"/>
      <c r="N209" s="79"/>
      <c r="O209" s="79"/>
      <c r="P209" s="72"/>
      <c r="Q209" s="77"/>
      <c r="R209" s="77"/>
      <c r="S209" s="82"/>
      <c r="T209" s="73"/>
    </row>
    <row r="210">
      <c r="A210" s="67"/>
      <c r="B210" s="67"/>
      <c r="C210" s="67"/>
      <c r="D210" s="76"/>
      <c r="E210" s="77"/>
      <c r="F210" s="76"/>
      <c r="G210" s="78"/>
      <c r="H210" s="79"/>
      <c r="I210" s="77"/>
      <c r="J210" s="77"/>
      <c r="K210" s="77"/>
      <c r="L210" s="77"/>
      <c r="M210" s="77"/>
      <c r="N210" s="80"/>
      <c r="O210" s="74"/>
      <c r="P210" s="74"/>
      <c r="Q210" s="77"/>
      <c r="R210" s="81"/>
      <c r="S210" s="82"/>
      <c r="T210" s="73"/>
    </row>
    <row r="211">
      <c r="A211" s="67"/>
      <c r="B211" s="67"/>
      <c r="C211" s="67"/>
      <c r="D211" s="76"/>
      <c r="E211" s="77"/>
      <c r="F211" s="76"/>
      <c r="G211" s="78"/>
      <c r="H211" s="79"/>
      <c r="I211" s="77"/>
      <c r="J211" s="77"/>
      <c r="K211" s="77"/>
      <c r="L211" s="77"/>
      <c r="M211" s="77"/>
      <c r="N211" s="80"/>
      <c r="O211" s="74"/>
      <c r="P211" s="85"/>
      <c r="Q211" s="77"/>
      <c r="R211" s="81"/>
      <c r="S211" s="82"/>
      <c r="T211" s="73"/>
    </row>
    <row r="212">
      <c r="A212" s="67"/>
      <c r="B212" s="67"/>
      <c r="C212" s="67"/>
      <c r="D212" s="76"/>
      <c r="E212" s="77"/>
      <c r="F212" s="83"/>
      <c r="G212" s="80"/>
      <c r="H212" s="79"/>
      <c r="I212" s="79"/>
      <c r="J212" s="79"/>
      <c r="K212" s="79"/>
      <c r="L212" s="79"/>
      <c r="M212" s="79"/>
      <c r="N212" s="79"/>
      <c r="O212" s="79"/>
      <c r="P212" s="72"/>
      <c r="Q212" s="77"/>
      <c r="R212" s="77"/>
      <c r="S212" s="82"/>
      <c r="T212" s="73"/>
    </row>
    <row r="213">
      <c r="A213" s="67"/>
      <c r="B213" s="67"/>
      <c r="C213" s="67"/>
      <c r="D213" s="76"/>
      <c r="E213" s="77"/>
      <c r="F213" s="76"/>
      <c r="G213" s="78"/>
      <c r="H213" s="79"/>
      <c r="I213" s="77"/>
      <c r="J213" s="77"/>
      <c r="K213" s="77"/>
      <c r="L213" s="77"/>
      <c r="M213" s="77"/>
      <c r="N213" s="80"/>
      <c r="O213" s="74"/>
      <c r="P213" s="74"/>
      <c r="Q213" s="77"/>
      <c r="R213" s="81"/>
      <c r="S213" s="82"/>
      <c r="T213" s="73"/>
    </row>
    <row r="214">
      <c r="A214" s="67"/>
      <c r="B214" s="67"/>
      <c r="C214" s="67"/>
      <c r="D214" s="76"/>
      <c r="E214" s="77"/>
      <c r="F214" s="76"/>
      <c r="G214" s="78"/>
      <c r="H214" s="79"/>
      <c r="I214" s="77"/>
      <c r="J214" s="77"/>
      <c r="K214" s="77"/>
      <c r="L214" s="77"/>
      <c r="M214" s="77"/>
      <c r="N214" s="80"/>
      <c r="O214" s="74"/>
      <c r="P214" s="85"/>
      <c r="Q214" s="77"/>
      <c r="R214" s="81"/>
      <c r="S214" s="82"/>
      <c r="T214" s="73"/>
    </row>
    <row r="215">
      <c r="A215" s="67"/>
      <c r="B215" s="67"/>
      <c r="C215" s="67"/>
      <c r="D215" s="76"/>
      <c r="E215" s="77"/>
      <c r="F215" s="83"/>
      <c r="G215" s="80"/>
      <c r="H215" s="79"/>
      <c r="I215" s="79"/>
      <c r="J215" s="79"/>
      <c r="K215" s="79"/>
      <c r="L215" s="79"/>
      <c r="M215" s="79"/>
      <c r="N215" s="79"/>
      <c r="O215" s="79"/>
      <c r="P215" s="72"/>
      <c r="Q215" s="77"/>
      <c r="R215" s="77"/>
      <c r="S215" s="82"/>
    </row>
    <row r="216">
      <c r="A216" s="67"/>
      <c r="B216" s="67"/>
      <c r="C216" s="67"/>
      <c r="D216" s="76"/>
      <c r="E216" s="77"/>
      <c r="F216" s="83"/>
      <c r="G216" s="80"/>
      <c r="H216" s="79"/>
      <c r="I216" s="79"/>
      <c r="J216" s="79"/>
      <c r="K216" s="79"/>
      <c r="L216" s="79"/>
      <c r="M216" s="79"/>
      <c r="N216" s="79"/>
      <c r="O216" s="79"/>
      <c r="P216" s="72"/>
      <c r="Q216" s="77"/>
      <c r="R216" s="77"/>
      <c r="S216" s="82"/>
      <c r="T216" s="73"/>
    </row>
    <row r="217">
      <c r="A217" s="67"/>
      <c r="B217" s="67"/>
      <c r="C217" s="67"/>
      <c r="D217" s="76"/>
      <c r="E217" s="77"/>
      <c r="F217" s="83"/>
      <c r="G217" s="80"/>
      <c r="H217" s="79"/>
      <c r="I217" s="79"/>
      <c r="J217" s="79"/>
      <c r="K217" s="79"/>
      <c r="L217" s="79"/>
      <c r="M217" s="79"/>
      <c r="N217" s="79"/>
      <c r="O217" s="79"/>
      <c r="P217" s="72"/>
      <c r="Q217" s="77"/>
      <c r="R217" s="77"/>
      <c r="S217" s="82"/>
    </row>
    <row r="218">
      <c r="A218" s="67"/>
      <c r="B218" s="67"/>
      <c r="C218" s="67"/>
      <c r="D218" s="76"/>
      <c r="E218" s="77"/>
      <c r="F218" s="83"/>
      <c r="G218" s="80"/>
      <c r="H218" s="79"/>
      <c r="I218" s="79"/>
      <c r="J218" s="79"/>
      <c r="K218" s="79"/>
      <c r="L218" s="79"/>
      <c r="M218" s="79"/>
      <c r="N218" s="79"/>
      <c r="O218" s="79"/>
      <c r="P218" s="72"/>
      <c r="Q218" s="77"/>
      <c r="R218" s="77"/>
      <c r="S218" s="82"/>
    </row>
    <row r="219">
      <c r="A219" s="67"/>
      <c r="B219" s="67"/>
      <c r="C219" s="67"/>
      <c r="D219" s="76"/>
      <c r="E219" s="77"/>
      <c r="F219" s="83"/>
      <c r="G219" s="80"/>
      <c r="H219" s="79"/>
      <c r="I219" s="79"/>
      <c r="J219" s="79"/>
      <c r="K219" s="79"/>
      <c r="L219" s="79"/>
      <c r="M219" s="79"/>
      <c r="N219" s="79"/>
      <c r="O219" s="79"/>
      <c r="P219" s="72"/>
      <c r="Q219" s="77"/>
      <c r="R219" s="77"/>
      <c r="S219" s="82"/>
      <c r="T219" s="73"/>
    </row>
    <row r="220">
      <c r="A220" s="67"/>
      <c r="B220" s="67"/>
      <c r="C220" s="67"/>
      <c r="D220" s="76"/>
      <c r="E220" s="77"/>
      <c r="F220" s="83"/>
      <c r="G220" s="80"/>
      <c r="H220" s="79"/>
      <c r="I220" s="79"/>
      <c r="J220" s="79"/>
      <c r="K220" s="79"/>
      <c r="L220" s="79"/>
      <c r="M220" s="79"/>
      <c r="N220" s="79"/>
      <c r="O220" s="79"/>
      <c r="P220" s="72"/>
      <c r="Q220" s="77"/>
      <c r="R220" s="77"/>
      <c r="S220" s="82"/>
    </row>
    <row r="221">
      <c r="A221" s="67"/>
      <c r="B221" s="67"/>
      <c r="C221" s="67"/>
      <c r="D221" s="76"/>
      <c r="E221" s="77"/>
      <c r="F221" s="83"/>
      <c r="G221" s="80"/>
      <c r="H221" s="79"/>
      <c r="I221" s="79"/>
      <c r="J221" s="79"/>
      <c r="K221" s="79"/>
      <c r="L221" s="79"/>
      <c r="M221" s="79"/>
      <c r="N221" s="79"/>
      <c r="O221" s="79"/>
      <c r="P221" s="72"/>
      <c r="Q221" s="77"/>
      <c r="R221" s="77"/>
      <c r="S221" s="82"/>
      <c r="T221" s="73"/>
    </row>
    <row r="222">
      <c r="A222" s="67"/>
      <c r="B222" s="67"/>
      <c r="C222" s="67"/>
      <c r="D222" s="76"/>
      <c r="E222" s="77"/>
      <c r="F222" s="83"/>
      <c r="G222" s="80"/>
      <c r="H222" s="79"/>
      <c r="I222" s="79"/>
      <c r="J222" s="79"/>
      <c r="K222" s="79"/>
      <c r="L222" s="79"/>
      <c r="M222" s="79"/>
      <c r="N222" s="79"/>
      <c r="O222" s="79"/>
      <c r="P222" s="72"/>
      <c r="Q222" s="77"/>
      <c r="R222" s="77"/>
      <c r="S222" s="82"/>
      <c r="T222" s="73"/>
    </row>
    <row r="223">
      <c r="A223" s="67"/>
      <c r="B223" s="67"/>
      <c r="C223" s="67"/>
      <c r="D223" s="76"/>
      <c r="E223" s="77"/>
      <c r="F223" s="83"/>
      <c r="G223" s="80"/>
      <c r="H223" s="79"/>
      <c r="I223" s="79"/>
      <c r="J223" s="79"/>
      <c r="K223" s="79"/>
      <c r="L223" s="79"/>
      <c r="M223" s="79"/>
      <c r="N223" s="79"/>
      <c r="O223" s="79"/>
      <c r="P223" s="72"/>
      <c r="Q223" s="77"/>
      <c r="R223" s="77"/>
      <c r="S223" s="82"/>
      <c r="T223" s="73"/>
    </row>
    <row r="224">
      <c r="A224" s="67"/>
      <c r="B224" s="67"/>
      <c r="C224" s="67"/>
      <c r="D224" s="76"/>
      <c r="E224" s="77"/>
      <c r="F224" s="83"/>
      <c r="G224" s="80"/>
      <c r="H224" s="79"/>
      <c r="I224" s="79"/>
      <c r="J224" s="79"/>
      <c r="K224" s="79"/>
      <c r="L224" s="79"/>
      <c r="M224" s="79"/>
      <c r="N224" s="79"/>
      <c r="O224" s="79"/>
      <c r="P224" s="72"/>
      <c r="Q224" s="77"/>
      <c r="R224" s="77"/>
      <c r="S224" s="82"/>
    </row>
    <row r="225">
      <c r="A225" s="67"/>
      <c r="B225" s="67"/>
      <c r="C225" s="67"/>
      <c r="D225" s="76"/>
      <c r="E225" s="77"/>
      <c r="F225" s="83"/>
      <c r="G225" s="80"/>
      <c r="H225" s="79"/>
      <c r="I225" s="79"/>
      <c r="J225" s="79"/>
      <c r="K225" s="79"/>
      <c r="L225" s="79"/>
      <c r="M225" s="79"/>
      <c r="N225" s="79"/>
      <c r="O225" s="79"/>
      <c r="P225" s="72"/>
      <c r="Q225" s="77"/>
      <c r="R225" s="77"/>
      <c r="S225" s="82"/>
    </row>
    <row r="226">
      <c r="A226" s="67"/>
      <c r="B226" s="67"/>
      <c r="C226" s="67"/>
      <c r="D226" s="76"/>
      <c r="E226" s="77"/>
      <c r="F226" s="83"/>
      <c r="G226" s="80"/>
      <c r="H226" s="79"/>
      <c r="I226" s="79"/>
      <c r="J226" s="79"/>
      <c r="K226" s="79"/>
      <c r="L226" s="79"/>
      <c r="M226" s="79"/>
      <c r="N226" s="79"/>
      <c r="O226" s="79"/>
      <c r="P226" s="72"/>
      <c r="Q226" s="77"/>
      <c r="R226" s="77"/>
      <c r="S226" s="82"/>
      <c r="T226" s="73"/>
    </row>
    <row r="227">
      <c r="A227" s="67"/>
      <c r="B227" s="67"/>
      <c r="C227" s="67"/>
      <c r="D227" s="76"/>
      <c r="E227" s="77"/>
      <c r="F227" s="83"/>
      <c r="G227" s="80"/>
      <c r="H227" s="79"/>
      <c r="I227" s="79"/>
      <c r="J227" s="79"/>
      <c r="K227" s="79"/>
      <c r="L227" s="79"/>
      <c r="M227" s="79"/>
      <c r="N227" s="79"/>
      <c r="O227" s="79"/>
      <c r="P227" s="72"/>
      <c r="Q227" s="77"/>
      <c r="R227" s="77"/>
      <c r="S227" s="82"/>
      <c r="T227" s="73"/>
    </row>
    <row r="228">
      <c r="A228" s="67"/>
      <c r="B228" s="67"/>
      <c r="C228" s="67"/>
      <c r="D228" s="76"/>
      <c r="E228" s="77"/>
      <c r="F228" s="83"/>
      <c r="G228" s="80"/>
      <c r="H228" s="79"/>
      <c r="I228" s="79"/>
      <c r="J228" s="79"/>
      <c r="K228" s="79"/>
      <c r="L228" s="79"/>
      <c r="M228" s="79"/>
      <c r="N228" s="79"/>
      <c r="O228" s="79"/>
      <c r="P228" s="72"/>
      <c r="Q228" s="77"/>
      <c r="R228" s="77"/>
      <c r="S228" s="82"/>
      <c r="T228" s="73"/>
    </row>
    <row r="229">
      <c r="A229" s="67"/>
      <c r="B229" s="67"/>
      <c r="C229" s="67"/>
      <c r="D229" s="76"/>
      <c r="E229" s="77"/>
      <c r="F229" s="83"/>
      <c r="G229" s="80"/>
      <c r="H229" s="79"/>
      <c r="I229" s="79"/>
      <c r="J229" s="79"/>
      <c r="K229" s="79"/>
      <c r="L229" s="79"/>
      <c r="M229" s="79"/>
      <c r="N229" s="79"/>
      <c r="O229" s="79"/>
      <c r="P229" s="72"/>
      <c r="Q229" s="77"/>
      <c r="R229" s="77"/>
      <c r="S229" s="82"/>
    </row>
    <row r="230">
      <c r="A230" s="67"/>
      <c r="B230" s="67"/>
      <c r="C230" s="67"/>
      <c r="D230" s="76"/>
      <c r="E230" s="77"/>
      <c r="F230" s="76"/>
      <c r="G230" s="78"/>
      <c r="H230" s="79"/>
      <c r="I230" s="77"/>
      <c r="J230" s="77"/>
      <c r="K230" s="77"/>
      <c r="L230" s="77"/>
      <c r="M230" s="77"/>
      <c r="N230" s="80"/>
      <c r="O230" s="74"/>
      <c r="P230" s="85"/>
      <c r="Q230" s="77"/>
      <c r="R230" s="81"/>
      <c r="S230" s="82"/>
      <c r="T230" s="73"/>
    </row>
    <row r="231">
      <c r="A231" s="67"/>
      <c r="B231" s="67"/>
      <c r="C231" s="67"/>
      <c r="D231" s="76"/>
      <c r="E231" s="77"/>
      <c r="F231" s="83"/>
      <c r="G231" s="80"/>
      <c r="H231" s="79"/>
      <c r="I231" s="79"/>
      <c r="J231" s="79"/>
      <c r="K231" s="79"/>
      <c r="L231" s="79"/>
      <c r="M231" s="79"/>
      <c r="N231" s="79"/>
      <c r="O231" s="79"/>
      <c r="P231" s="72"/>
      <c r="Q231" s="77"/>
      <c r="R231" s="77"/>
      <c r="S231" s="82"/>
    </row>
    <row r="232">
      <c r="A232" s="67"/>
      <c r="B232" s="67"/>
      <c r="C232" s="67"/>
      <c r="D232" s="76"/>
      <c r="E232" s="77"/>
      <c r="F232" s="83"/>
      <c r="G232" s="80"/>
      <c r="H232" s="79"/>
      <c r="I232" s="79"/>
      <c r="J232" s="79"/>
      <c r="K232" s="79"/>
      <c r="L232" s="79"/>
      <c r="M232" s="79"/>
      <c r="N232" s="79"/>
      <c r="O232" s="79"/>
      <c r="P232" s="72"/>
      <c r="Q232" s="77"/>
      <c r="R232" s="77"/>
      <c r="S232" s="82"/>
      <c r="T232" s="73"/>
    </row>
    <row r="233">
      <c r="A233" s="67"/>
      <c r="B233" s="67"/>
      <c r="C233" s="67"/>
      <c r="D233" s="76"/>
      <c r="E233" s="77"/>
      <c r="F233" s="83"/>
      <c r="G233" s="80"/>
      <c r="H233" s="79"/>
      <c r="I233" s="79"/>
      <c r="J233" s="79"/>
      <c r="K233" s="79"/>
      <c r="L233" s="79"/>
      <c r="M233" s="79"/>
      <c r="N233" s="79"/>
      <c r="O233" s="79"/>
      <c r="P233" s="72"/>
      <c r="Q233" s="77"/>
      <c r="R233" s="77"/>
      <c r="S233" s="82"/>
    </row>
    <row r="234">
      <c r="A234" s="67"/>
      <c r="B234" s="67"/>
      <c r="C234" s="67"/>
      <c r="D234" s="76"/>
      <c r="E234" s="77"/>
      <c r="F234" s="76"/>
      <c r="G234" s="78"/>
      <c r="H234" s="79"/>
      <c r="I234" s="77"/>
      <c r="J234" s="77"/>
      <c r="K234" s="77"/>
      <c r="L234" s="77"/>
      <c r="M234" s="77"/>
      <c r="N234" s="80"/>
      <c r="O234" s="74"/>
      <c r="P234" s="85"/>
      <c r="Q234" s="77"/>
      <c r="R234" s="81"/>
      <c r="S234" s="82"/>
      <c r="T234" s="73"/>
    </row>
    <row r="235">
      <c r="A235" s="67"/>
      <c r="B235" s="67"/>
      <c r="C235" s="67"/>
      <c r="D235" s="76"/>
      <c r="E235" s="77"/>
      <c r="F235" s="76"/>
      <c r="G235" s="78"/>
      <c r="H235" s="79"/>
      <c r="I235" s="77"/>
      <c r="J235" s="77"/>
      <c r="K235" s="77"/>
      <c r="L235" s="77"/>
      <c r="M235" s="77"/>
      <c r="N235" s="80"/>
      <c r="O235" s="74"/>
      <c r="P235" s="85"/>
      <c r="Q235" s="77"/>
      <c r="R235" s="81"/>
      <c r="S235" s="82"/>
      <c r="T235" s="73"/>
    </row>
    <row r="236">
      <c r="A236" s="67"/>
      <c r="B236" s="67"/>
      <c r="C236" s="67"/>
      <c r="D236" s="76"/>
      <c r="E236" s="77"/>
      <c r="F236" s="76"/>
      <c r="G236" s="78"/>
      <c r="H236" s="79"/>
      <c r="I236" s="77"/>
      <c r="J236" s="77"/>
      <c r="K236" s="77"/>
      <c r="L236" s="77"/>
      <c r="M236" s="77"/>
      <c r="N236" s="80"/>
      <c r="O236" s="74"/>
      <c r="P236" s="85"/>
      <c r="Q236" s="77"/>
      <c r="R236" s="81"/>
      <c r="S236" s="82"/>
      <c r="T236" s="73"/>
    </row>
    <row r="237">
      <c r="A237" s="67"/>
      <c r="B237" s="67"/>
      <c r="C237" s="67"/>
      <c r="D237" s="76"/>
      <c r="E237" s="77"/>
      <c r="F237" s="76"/>
      <c r="G237" s="78"/>
      <c r="H237" s="79"/>
      <c r="I237" s="77"/>
      <c r="J237" s="77"/>
      <c r="K237" s="77"/>
      <c r="L237" s="77"/>
      <c r="M237" s="77"/>
      <c r="N237" s="80"/>
      <c r="O237" s="74"/>
      <c r="P237" s="74"/>
      <c r="Q237" s="77"/>
      <c r="R237" s="81"/>
      <c r="S237" s="82"/>
      <c r="T237" s="73"/>
    </row>
    <row r="238">
      <c r="A238" s="67"/>
      <c r="B238" s="67"/>
      <c r="C238" s="67"/>
      <c r="D238" s="76"/>
      <c r="E238" s="77"/>
      <c r="F238" s="83"/>
      <c r="G238" s="80"/>
      <c r="H238" s="79"/>
      <c r="I238" s="79"/>
      <c r="J238" s="79"/>
      <c r="K238" s="79"/>
      <c r="L238" s="79"/>
      <c r="M238" s="79"/>
      <c r="N238" s="79"/>
      <c r="O238" s="79"/>
      <c r="P238" s="72"/>
      <c r="Q238" s="77"/>
      <c r="R238" s="77"/>
      <c r="S238" s="82"/>
      <c r="T238" s="73"/>
    </row>
    <row r="239">
      <c r="A239" s="67"/>
      <c r="B239" s="67"/>
      <c r="C239" s="67"/>
      <c r="D239" s="76"/>
      <c r="E239" s="77"/>
      <c r="F239" s="83"/>
      <c r="G239" s="80"/>
      <c r="H239" s="79"/>
      <c r="I239" s="79"/>
      <c r="J239" s="79"/>
      <c r="K239" s="79"/>
      <c r="L239" s="79"/>
      <c r="M239" s="79"/>
      <c r="N239" s="79"/>
      <c r="O239" s="79"/>
      <c r="P239" s="72"/>
      <c r="Q239" s="77"/>
      <c r="R239" s="77"/>
      <c r="S239" s="82"/>
    </row>
    <row r="240">
      <c r="A240" s="67"/>
      <c r="B240" s="67"/>
      <c r="C240" s="67"/>
      <c r="D240" s="76"/>
      <c r="E240" s="77"/>
      <c r="F240" s="83"/>
      <c r="G240" s="80"/>
      <c r="H240" s="79"/>
      <c r="I240" s="79"/>
      <c r="J240" s="79"/>
      <c r="K240" s="79"/>
      <c r="L240" s="79"/>
      <c r="M240" s="79"/>
      <c r="N240" s="79"/>
      <c r="O240" s="79"/>
      <c r="P240" s="72"/>
      <c r="Q240" s="77"/>
      <c r="R240" s="77"/>
      <c r="S240" s="82"/>
      <c r="T240" s="73"/>
    </row>
    <row r="241">
      <c r="A241" s="67"/>
      <c r="B241" s="67"/>
      <c r="C241" s="67"/>
      <c r="D241" s="76"/>
      <c r="E241" s="77"/>
      <c r="F241" s="76"/>
      <c r="G241" s="78"/>
      <c r="H241" s="79"/>
      <c r="I241" s="77"/>
      <c r="J241" s="77"/>
      <c r="K241" s="77"/>
      <c r="L241" s="77"/>
      <c r="M241" s="77"/>
      <c r="N241" s="80"/>
      <c r="O241" s="74"/>
      <c r="P241" s="85"/>
      <c r="Q241" s="77"/>
      <c r="R241" s="81"/>
      <c r="S241" s="82"/>
      <c r="T241" s="73"/>
    </row>
    <row r="242">
      <c r="A242" s="67"/>
      <c r="B242" s="67"/>
      <c r="C242" s="67"/>
      <c r="D242" s="76"/>
      <c r="E242" s="77"/>
      <c r="F242" s="83"/>
      <c r="G242" s="80"/>
      <c r="H242" s="79"/>
      <c r="I242" s="79"/>
      <c r="J242" s="79"/>
      <c r="K242" s="79"/>
      <c r="L242" s="79"/>
      <c r="M242" s="79"/>
      <c r="N242" s="79"/>
      <c r="O242" s="79"/>
      <c r="P242" s="72"/>
      <c r="Q242" s="77"/>
      <c r="R242" s="77"/>
      <c r="S242" s="82"/>
    </row>
    <row r="243">
      <c r="A243" s="67"/>
      <c r="B243" s="67"/>
      <c r="C243" s="67"/>
      <c r="D243" s="76"/>
      <c r="E243" s="77"/>
      <c r="F243" s="76"/>
      <c r="G243" s="78"/>
      <c r="H243" s="79"/>
      <c r="I243" s="77"/>
      <c r="J243" s="77"/>
      <c r="K243" s="77"/>
      <c r="L243" s="77"/>
      <c r="M243" s="77"/>
      <c r="N243" s="80"/>
      <c r="O243" s="74"/>
      <c r="P243" s="85"/>
      <c r="Q243" s="77"/>
      <c r="R243" s="81"/>
      <c r="S243" s="82"/>
      <c r="T243" s="73"/>
    </row>
    <row r="244">
      <c r="A244" s="67"/>
      <c r="B244" s="67"/>
      <c r="C244" s="67"/>
      <c r="D244" s="76"/>
      <c r="E244" s="77"/>
      <c r="F244" s="83"/>
      <c r="G244" s="80"/>
      <c r="H244" s="79"/>
      <c r="I244" s="79"/>
      <c r="J244" s="79"/>
      <c r="K244" s="79"/>
      <c r="L244" s="79"/>
      <c r="M244" s="79"/>
      <c r="N244" s="79"/>
      <c r="O244" s="79"/>
      <c r="P244" s="72"/>
      <c r="Q244" s="77"/>
      <c r="R244" s="77"/>
      <c r="S244" s="82"/>
      <c r="T244" s="73"/>
    </row>
    <row r="245">
      <c r="A245" s="67"/>
      <c r="B245" s="67"/>
      <c r="C245" s="67"/>
      <c r="D245" s="76"/>
      <c r="E245" s="77"/>
      <c r="F245" s="76"/>
      <c r="G245" s="78"/>
      <c r="H245" s="79"/>
      <c r="I245" s="77"/>
      <c r="J245" s="77"/>
      <c r="K245" s="77"/>
      <c r="L245" s="77"/>
      <c r="M245" s="77"/>
      <c r="N245" s="80"/>
      <c r="O245" s="74"/>
      <c r="P245" s="85"/>
      <c r="Q245" s="77"/>
      <c r="R245" s="81"/>
      <c r="S245" s="82"/>
      <c r="T245" s="73"/>
    </row>
    <row r="246">
      <c r="A246" s="67"/>
      <c r="B246" s="67"/>
      <c r="C246" s="67"/>
      <c r="D246" s="76"/>
      <c r="E246" s="77"/>
      <c r="F246" s="83"/>
      <c r="G246" s="80"/>
      <c r="H246" s="79"/>
      <c r="I246" s="79"/>
      <c r="J246" s="79"/>
      <c r="K246" s="79"/>
      <c r="L246" s="79"/>
      <c r="M246" s="79"/>
      <c r="N246" s="79"/>
      <c r="O246" s="79"/>
      <c r="P246" s="72"/>
      <c r="Q246" s="77"/>
      <c r="R246" s="77"/>
      <c r="S246" s="82"/>
      <c r="T246" s="73"/>
    </row>
    <row r="247">
      <c r="A247" s="67"/>
      <c r="B247" s="67"/>
      <c r="C247" s="67"/>
      <c r="D247" s="76"/>
      <c r="E247" s="77"/>
      <c r="F247" s="83"/>
      <c r="G247" s="80"/>
      <c r="H247" s="79"/>
      <c r="I247" s="79"/>
      <c r="J247" s="79"/>
      <c r="K247" s="79"/>
      <c r="L247" s="79"/>
      <c r="M247" s="79"/>
      <c r="N247" s="79"/>
      <c r="O247" s="79"/>
      <c r="P247" s="72"/>
      <c r="Q247" s="77"/>
      <c r="R247" s="77"/>
      <c r="S247" s="82"/>
    </row>
    <row r="248">
      <c r="A248" s="67"/>
      <c r="B248" s="67"/>
      <c r="C248" s="67"/>
      <c r="D248" s="76"/>
      <c r="E248" s="77"/>
      <c r="F248" s="83"/>
      <c r="G248" s="80"/>
      <c r="H248" s="79"/>
      <c r="I248" s="79"/>
      <c r="J248" s="79"/>
      <c r="K248" s="79"/>
      <c r="L248" s="79"/>
      <c r="M248" s="79"/>
      <c r="N248" s="79"/>
      <c r="O248" s="79"/>
      <c r="P248" s="72"/>
      <c r="Q248" s="77"/>
      <c r="R248" s="77"/>
      <c r="S248" s="82"/>
      <c r="T248" s="73"/>
    </row>
    <row r="249">
      <c r="A249" s="67"/>
      <c r="B249" s="67"/>
      <c r="C249" s="67"/>
      <c r="D249" s="76"/>
      <c r="E249" s="77"/>
      <c r="F249" s="83"/>
      <c r="G249" s="80"/>
      <c r="H249" s="79"/>
      <c r="I249" s="79"/>
      <c r="J249" s="79"/>
      <c r="K249" s="79"/>
      <c r="L249" s="79"/>
      <c r="M249" s="79"/>
      <c r="N249" s="79"/>
      <c r="O249" s="79"/>
      <c r="P249" s="72"/>
      <c r="Q249" s="77"/>
      <c r="R249" s="77"/>
      <c r="S249" s="82"/>
      <c r="T249" s="73"/>
    </row>
    <row r="250">
      <c r="A250" s="67"/>
      <c r="B250" s="67"/>
      <c r="C250" s="67"/>
      <c r="D250" s="76"/>
      <c r="E250" s="77"/>
      <c r="F250" s="83"/>
      <c r="G250" s="80"/>
      <c r="H250" s="79"/>
      <c r="I250" s="79"/>
      <c r="J250" s="79"/>
      <c r="K250" s="79"/>
      <c r="L250" s="79"/>
      <c r="M250" s="79"/>
      <c r="N250" s="79"/>
      <c r="O250" s="79"/>
      <c r="P250" s="72"/>
      <c r="Q250" s="77"/>
      <c r="R250" s="77"/>
      <c r="S250" s="82"/>
    </row>
    <row r="251">
      <c r="A251" s="67"/>
      <c r="B251" s="67"/>
      <c r="C251" s="67"/>
      <c r="D251" s="76"/>
      <c r="E251" s="77"/>
      <c r="F251" s="83"/>
      <c r="G251" s="80"/>
      <c r="H251" s="79"/>
      <c r="I251" s="79"/>
      <c r="J251" s="79"/>
      <c r="K251" s="79"/>
      <c r="L251" s="79"/>
      <c r="M251" s="79"/>
      <c r="N251" s="79"/>
      <c r="O251" s="79"/>
      <c r="P251" s="72"/>
      <c r="Q251" s="77"/>
      <c r="R251" s="77"/>
      <c r="S251" s="82"/>
      <c r="T251" s="73"/>
    </row>
    <row r="252">
      <c r="A252" s="67"/>
      <c r="B252" s="67"/>
      <c r="C252" s="67"/>
      <c r="D252" s="76"/>
      <c r="E252" s="77"/>
      <c r="F252" s="83"/>
      <c r="G252" s="80"/>
      <c r="H252" s="79"/>
      <c r="I252" s="79"/>
      <c r="J252" s="79"/>
      <c r="K252" s="79"/>
      <c r="L252" s="79"/>
      <c r="M252" s="79"/>
      <c r="N252" s="79"/>
      <c r="O252" s="79"/>
      <c r="P252" s="72"/>
      <c r="Q252" s="77"/>
      <c r="R252" s="77"/>
      <c r="S252" s="82"/>
      <c r="T252" s="73"/>
    </row>
    <row r="253">
      <c r="A253" s="67"/>
      <c r="B253" s="67"/>
      <c r="C253" s="67"/>
      <c r="D253" s="76"/>
      <c r="E253" s="77"/>
      <c r="F253" s="83"/>
      <c r="G253" s="80"/>
      <c r="H253" s="79"/>
      <c r="I253" s="79"/>
      <c r="J253" s="79"/>
      <c r="K253" s="79"/>
      <c r="L253" s="79"/>
      <c r="M253" s="79"/>
      <c r="N253" s="79"/>
      <c r="O253" s="79"/>
      <c r="P253" s="72"/>
      <c r="Q253" s="77"/>
      <c r="R253" s="77"/>
      <c r="S253" s="82"/>
      <c r="T253" s="73"/>
    </row>
    <row r="254">
      <c r="A254" s="67"/>
      <c r="B254" s="67"/>
      <c r="C254" s="67"/>
      <c r="D254" s="76"/>
      <c r="E254" s="77"/>
      <c r="F254" s="76"/>
      <c r="G254" s="78"/>
      <c r="H254" s="79"/>
      <c r="I254" s="77"/>
      <c r="J254" s="77"/>
      <c r="K254" s="77"/>
      <c r="L254" s="77"/>
      <c r="M254" s="77"/>
      <c r="N254" s="80"/>
      <c r="O254" s="74"/>
      <c r="P254" s="85"/>
      <c r="Q254" s="77"/>
      <c r="R254" s="81"/>
      <c r="S254" s="82"/>
      <c r="T254" s="73"/>
    </row>
    <row r="255">
      <c r="A255" s="67"/>
      <c r="B255" s="67"/>
      <c r="C255" s="67"/>
      <c r="D255" s="76"/>
      <c r="E255" s="77"/>
      <c r="F255" s="83"/>
      <c r="G255" s="80"/>
      <c r="H255" s="79"/>
      <c r="I255" s="79"/>
      <c r="J255" s="79"/>
      <c r="K255" s="79"/>
      <c r="L255" s="79"/>
      <c r="M255" s="79"/>
      <c r="N255" s="79"/>
      <c r="O255" s="79"/>
      <c r="P255" s="72"/>
      <c r="Q255" s="77"/>
      <c r="R255" s="77"/>
      <c r="S255" s="82"/>
      <c r="T255" s="73"/>
    </row>
    <row r="256">
      <c r="A256" s="67"/>
      <c r="B256" s="67"/>
      <c r="C256" s="67"/>
      <c r="D256" s="76"/>
      <c r="E256" s="77"/>
      <c r="F256" s="83"/>
      <c r="G256" s="80"/>
      <c r="H256" s="79"/>
      <c r="I256" s="79"/>
      <c r="J256" s="79"/>
      <c r="K256" s="79"/>
      <c r="L256" s="79"/>
      <c r="M256" s="79"/>
      <c r="N256" s="79"/>
      <c r="O256" s="79"/>
      <c r="P256" s="72"/>
      <c r="Q256" s="77"/>
      <c r="R256" s="77"/>
      <c r="S256" s="82"/>
      <c r="T256" s="73"/>
    </row>
    <row r="257">
      <c r="A257" s="67"/>
      <c r="B257" s="67"/>
      <c r="C257" s="67"/>
      <c r="D257" s="76"/>
      <c r="E257" s="77"/>
      <c r="F257" s="83"/>
      <c r="G257" s="80"/>
      <c r="H257" s="79"/>
      <c r="I257" s="79"/>
      <c r="J257" s="79"/>
      <c r="K257" s="79"/>
      <c r="L257" s="79"/>
      <c r="M257" s="79"/>
      <c r="N257" s="79"/>
      <c r="O257" s="79"/>
      <c r="P257" s="72"/>
      <c r="Q257" s="77"/>
      <c r="R257" s="77"/>
      <c r="S257" s="82"/>
    </row>
    <row r="258">
      <c r="A258" s="67"/>
      <c r="B258" s="67"/>
      <c r="C258" s="67"/>
      <c r="D258" s="76"/>
      <c r="E258" s="77"/>
      <c r="F258" s="83"/>
      <c r="G258" s="80"/>
      <c r="H258" s="79"/>
      <c r="I258" s="79"/>
      <c r="J258" s="79"/>
      <c r="K258" s="79"/>
      <c r="L258" s="79"/>
      <c r="M258" s="79"/>
      <c r="N258" s="79"/>
      <c r="O258" s="79"/>
      <c r="P258" s="72"/>
      <c r="Q258" s="77"/>
      <c r="R258" s="77"/>
      <c r="S258" s="82"/>
      <c r="T258" s="73"/>
    </row>
    <row r="259">
      <c r="A259" s="67"/>
      <c r="B259" s="67"/>
      <c r="C259" s="67"/>
      <c r="D259" s="76"/>
      <c r="E259" s="77"/>
      <c r="F259" s="83"/>
      <c r="G259" s="80"/>
      <c r="H259" s="79"/>
      <c r="I259" s="79"/>
      <c r="J259" s="79"/>
      <c r="K259" s="79"/>
      <c r="L259" s="79"/>
      <c r="M259" s="79"/>
      <c r="N259" s="79"/>
      <c r="O259" s="79"/>
      <c r="P259" s="72"/>
      <c r="Q259" s="77"/>
      <c r="R259" s="77"/>
      <c r="S259" s="82"/>
      <c r="T259" s="73"/>
    </row>
    <row r="260">
      <c r="A260" s="67"/>
      <c r="B260" s="67"/>
      <c r="C260" s="67"/>
      <c r="D260" s="76"/>
      <c r="E260" s="77"/>
      <c r="F260" s="83"/>
      <c r="G260" s="80"/>
      <c r="H260" s="79"/>
      <c r="I260" s="79"/>
      <c r="J260" s="79"/>
      <c r="K260" s="79"/>
      <c r="L260" s="79"/>
      <c r="M260" s="79"/>
      <c r="N260" s="79"/>
      <c r="O260" s="79"/>
      <c r="P260" s="72"/>
      <c r="Q260" s="77"/>
      <c r="R260" s="77"/>
      <c r="S260" s="82"/>
      <c r="T260" s="73"/>
    </row>
    <row r="261">
      <c r="A261" s="67"/>
      <c r="B261" s="67"/>
      <c r="C261" s="67"/>
      <c r="D261" s="76"/>
      <c r="E261" s="77"/>
      <c r="F261" s="76"/>
      <c r="G261" s="78"/>
      <c r="H261" s="79"/>
      <c r="I261" s="77"/>
      <c r="J261" s="77"/>
      <c r="K261" s="77"/>
      <c r="L261" s="77"/>
      <c r="M261" s="77"/>
      <c r="N261" s="80"/>
      <c r="O261" s="74"/>
      <c r="P261" s="74"/>
      <c r="Q261" s="77"/>
      <c r="R261" s="81"/>
      <c r="S261" s="82"/>
      <c r="T261" s="73"/>
    </row>
    <row r="262">
      <c r="A262" s="67"/>
      <c r="B262" s="67"/>
      <c r="C262" s="67"/>
      <c r="D262" s="76"/>
      <c r="E262" s="77"/>
      <c r="F262" s="76"/>
      <c r="G262" s="78"/>
      <c r="H262" s="79"/>
      <c r="I262" s="77"/>
      <c r="J262" s="77"/>
      <c r="K262" s="77"/>
      <c r="L262" s="77"/>
      <c r="M262" s="77"/>
      <c r="N262" s="80"/>
      <c r="O262" s="74"/>
      <c r="P262" s="74"/>
      <c r="Q262" s="77"/>
      <c r="R262" s="81"/>
      <c r="S262" s="82"/>
      <c r="T262" s="73"/>
    </row>
    <row r="263">
      <c r="A263" s="67"/>
      <c r="B263" s="67"/>
      <c r="C263" s="67"/>
      <c r="D263" s="76"/>
      <c r="E263" s="77"/>
      <c r="F263" s="76"/>
      <c r="G263" s="78"/>
      <c r="H263" s="79"/>
      <c r="I263" s="77"/>
      <c r="J263" s="77"/>
      <c r="K263" s="77"/>
      <c r="L263" s="77"/>
      <c r="M263" s="77"/>
      <c r="N263" s="80"/>
      <c r="O263" s="74"/>
      <c r="P263" s="85"/>
      <c r="Q263" s="77"/>
      <c r="R263" s="81"/>
      <c r="S263" s="82"/>
      <c r="T263" s="73"/>
    </row>
    <row r="264">
      <c r="A264" s="67"/>
      <c r="B264" s="67"/>
      <c r="C264" s="67"/>
      <c r="D264" s="76"/>
      <c r="E264" s="77"/>
      <c r="F264" s="83"/>
      <c r="G264" s="80"/>
      <c r="H264" s="79"/>
      <c r="I264" s="79"/>
      <c r="J264" s="79"/>
      <c r="K264" s="79"/>
      <c r="L264" s="79"/>
      <c r="M264" s="79"/>
      <c r="N264" s="79"/>
      <c r="O264" s="79"/>
      <c r="P264" s="72"/>
      <c r="Q264" s="77"/>
      <c r="R264" s="77"/>
      <c r="S264" s="82"/>
      <c r="T264" s="73"/>
    </row>
    <row r="265">
      <c r="A265" s="67"/>
      <c r="B265" s="67"/>
      <c r="C265" s="67"/>
      <c r="D265" s="76"/>
      <c r="E265" s="77"/>
      <c r="F265" s="76"/>
      <c r="G265" s="78"/>
      <c r="H265" s="79"/>
      <c r="I265" s="77"/>
      <c r="J265" s="77"/>
      <c r="K265" s="77"/>
      <c r="L265" s="77"/>
      <c r="M265" s="77"/>
      <c r="N265" s="80"/>
      <c r="O265" s="74"/>
      <c r="P265" s="85"/>
      <c r="Q265" s="77"/>
      <c r="R265" s="81"/>
      <c r="S265" s="82"/>
      <c r="T265" s="73"/>
    </row>
    <row r="266">
      <c r="A266" s="67"/>
      <c r="B266" s="67"/>
      <c r="C266" s="67"/>
      <c r="D266" s="76"/>
      <c r="E266" s="77"/>
      <c r="F266" s="83"/>
      <c r="G266" s="80"/>
      <c r="H266" s="79"/>
      <c r="I266" s="79"/>
      <c r="J266" s="79"/>
      <c r="K266" s="79"/>
      <c r="L266" s="79"/>
      <c r="M266" s="79"/>
      <c r="N266" s="79"/>
      <c r="O266" s="79"/>
      <c r="P266" s="72"/>
      <c r="Q266" s="77"/>
      <c r="R266" s="77"/>
      <c r="S266" s="82"/>
      <c r="T266" s="73"/>
    </row>
    <row r="267">
      <c r="A267" s="67"/>
      <c r="B267" s="67"/>
      <c r="C267" s="67"/>
      <c r="D267" s="76"/>
      <c r="E267" s="77"/>
      <c r="F267" s="83"/>
      <c r="G267" s="80"/>
      <c r="H267" s="79"/>
      <c r="I267" s="79"/>
      <c r="J267" s="79"/>
      <c r="K267" s="79"/>
      <c r="L267" s="79"/>
      <c r="M267" s="79"/>
      <c r="N267" s="79"/>
      <c r="O267" s="79"/>
      <c r="P267" s="72"/>
      <c r="Q267" s="77"/>
      <c r="R267" s="77"/>
      <c r="S267" s="82"/>
    </row>
    <row r="268">
      <c r="A268" s="67"/>
      <c r="B268" s="67"/>
      <c r="C268" s="67"/>
      <c r="D268" s="76"/>
      <c r="E268" s="77"/>
      <c r="F268" s="83"/>
      <c r="G268" s="80"/>
      <c r="H268" s="79"/>
      <c r="I268" s="79"/>
      <c r="J268" s="79"/>
      <c r="K268" s="79"/>
      <c r="L268" s="79"/>
      <c r="M268" s="79"/>
      <c r="N268" s="79"/>
      <c r="O268" s="79"/>
      <c r="P268" s="72"/>
      <c r="Q268" s="77"/>
      <c r="R268" s="77"/>
      <c r="S268" s="82"/>
    </row>
    <row r="269">
      <c r="A269" s="67"/>
      <c r="B269" s="67"/>
      <c r="C269" s="67"/>
      <c r="D269" s="76"/>
      <c r="E269" s="77"/>
      <c r="F269" s="83"/>
      <c r="G269" s="80"/>
      <c r="H269" s="79"/>
      <c r="I269" s="79"/>
      <c r="J269" s="79"/>
      <c r="K269" s="79"/>
      <c r="L269" s="79"/>
      <c r="M269" s="79"/>
      <c r="N269" s="79"/>
      <c r="O269" s="79"/>
      <c r="P269" s="72"/>
      <c r="Q269" s="77"/>
      <c r="R269" s="77"/>
      <c r="S269" s="82"/>
    </row>
    <row r="270">
      <c r="A270" s="67"/>
      <c r="B270" s="67"/>
      <c r="C270" s="67"/>
      <c r="D270" s="76"/>
      <c r="E270" s="77"/>
      <c r="F270" s="76"/>
      <c r="G270" s="78"/>
      <c r="H270" s="79"/>
      <c r="I270" s="77"/>
      <c r="J270" s="77"/>
      <c r="K270" s="77"/>
      <c r="L270" s="77"/>
      <c r="M270" s="77"/>
      <c r="N270" s="80"/>
      <c r="O270" s="74"/>
      <c r="P270" s="74"/>
      <c r="Q270" s="77"/>
      <c r="R270" s="81"/>
      <c r="S270" s="82"/>
      <c r="T270" s="73"/>
    </row>
    <row r="271">
      <c r="A271" s="67"/>
      <c r="B271" s="67"/>
      <c r="C271" s="67"/>
      <c r="D271" s="76"/>
      <c r="E271" s="77"/>
      <c r="F271" s="76"/>
      <c r="G271" s="78"/>
      <c r="H271" s="79"/>
      <c r="I271" s="77"/>
      <c r="J271" s="77"/>
      <c r="K271" s="77"/>
      <c r="L271" s="77"/>
      <c r="M271" s="77"/>
      <c r="N271" s="80"/>
      <c r="O271" s="74"/>
      <c r="P271" s="74"/>
      <c r="Q271" s="77"/>
      <c r="R271" s="81"/>
      <c r="S271" s="82"/>
      <c r="T271" s="73"/>
    </row>
    <row r="272">
      <c r="A272" s="67"/>
      <c r="B272" s="67"/>
      <c r="C272" s="67"/>
      <c r="D272" s="76"/>
      <c r="E272" s="77"/>
      <c r="F272" s="76"/>
      <c r="G272" s="78"/>
      <c r="H272" s="79"/>
      <c r="I272" s="77"/>
      <c r="J272" s="77"/>
      <c r="K272" s="77"/>
      <c r="L272" s="77"/>
      <c r="M272" s="77"/>
      <c r="N272" s="80"/>
      <c r="O272" s="74"/>
      <c r="P272" s="85"/>
      <c r="Q272" s="77"/>
      <c r="R272" s="81"/>
      <c r="S272" s="82"/>
      <c r="T272" s="73"/>
    </row>
    <row r="273">
      <c r="A273" s="67"/>
      <c r="B273" s="67"/>
      <c r="C273" s="67"/>
      <c r="D273" s="76"/>
      <c r="E273" s="77"/>
      <c r="F273" s="83"/>
      <c r="G273" s="80"/>
      <c r="H273" s="79"/>
      <c r="I273" s="79"/>
      <c r="J273" s="79"/>
      <c r="K273" s="79"/>
      <c r="L273" s="79"/>
      <c r="M273" s="79"/>
      <c r="N273" s="79"/>
      <c r="O273" s="79"/>
      <c r="P273" s="72"/>
      <c r="Q273" s="77"/>
      <c r="R273" s="77"/>
      <c r="S273" s="82"/>
    </row>
    <row r="274">
      <c r="A274" s="67"/>
      <c r="B274" s="67"/>
      <c r="C274" s="67"/>
      <c r="D274" s="76"/>
      <c r="E274" s="77"/>
      <c r="F274" s="76"/>
      <c r="G274" s="78"/>
      <c r="H274" s="79"/>
      <c r="I274" s="77"/>
      <c r="J274" s="77"/>
      <c r="K274" s="77"/>
      <c r="L274" s="77"/>
      <c r="M274" s="77"/>
      <c r="N274" s="80"/>
      <c r="O274" s="74"/>
      <c r="P274" s="85"/>
      <c r="Q274" s="77"/>
      <c r="R274" s="81"/>
      <c r="S274" s="82"/>
      <c r="T274" s="73"/>
    </row>
    <row r="275">
      <c r="A275" s="67"/>
      <c r="B275" s="67"/>
      <c r="C275" s="67"/>
      <c r="D275" s="76"/>
      <c r="E275" s="77"/>
      <c r="F275" s="83"/>
      <c r="G275" s="80"/>
      <c r="H275" s="79"/>
      <c r="I275" s="79"/>
      <c r="J275" s="79"/>
      <c r="K275" s="79"/>
      <c r="L275" s="79"/>
      <c r="M275" s="79"/>
      <c r="N275" s="79"/>
      <c r="O275" s="79"/>
      <c r="P275" s="72"/>
      <c r="Q275" s="77"/>
      <c r="R275" s="77"/>
      <c r="S275" s="82"/>
      <c r="T275" s="73"/>
    </row>
    <row r="276">
      <c r="A276" s="67"/>
      <c r="B276" s="67"/>
      <c r="C276" s="67"/>
      <c r="D276" s="76"/>
      <c r="E276" s="77"/>
      <c r="F276" s="83"/>
      <c r="G276" s="80"/>
      <c r="H276" s="79"/>
      <c r="I276" s="79"/>
      <c r="J276" s="79"/>
      <c r="K276" s="79"/>
      <c r="L276" s="79"/>
      <c r="M276" s="79"/>
      <c r="N276" s="79"/>
      <c r="O276" s="79"/>
      <c r="P276" s="72"/>
      <c r="Q276" s="77"/>
      <c r="R276" s="77"/>
      <c r="S276" s="82"/>
    </row>
    <row r="277">
      <c r="A277" s="67"/>
      <c r="B277" s="67"/>
      <c r="C277" s="67"/>
      <c r="D277" s="76"/>
      <c r="E277" s="77"/>
      <c r="F277" s="83"/>
      <c r="G277" s="80"/>
      <c r="H277" s="79"/>
      <c r="I277" s="79"/>
      <c r="J277" s="79"/>
      <c r="K277" s="79"/>
      <c r="L277" s="79"/>
      <c r="M277" s="79"/>
      <c r="N277" s="79"/>
      <c r="O277" s="79"/>
      <c r="P277" s="72"/>
      <c r="Q277" s="77"/>
      <c r="R277" s="77"/>
      <c r="S277" s="82"/>
    </row>
    <row r="278">
      <c r="A278" s="67"/>
      <c r="B278" s="67"/>
      <c r="C278" s="67"/>
      <c r="D278" s="76"/>
      <c r="E278" s="77"/>
      <c r="F278" s="83"/>
      <c r="G278" s="80"/>
      <c r="H278" s="79"/>
      <c r="I278" s="79"/>
      <c r="J278" s="79"/>
      <c r="K278" s="79"/>
      <c r="L278" s="79"/>
      <c r="M278" s="79"/>
      <c r="N278" s="79"/>
      <c r="O278" s="79"/>
      <c r="P278" s="72"/>
      <c r="Q278" s="77"/>
      <c r="R278" s="77"/>
      <c r="S278" s="82"/>
      <c r="T278" s="73"/>
    </row>
    <row r="279">
      <c r="A279" s="67"/>
      <c r="B279" s="67"/>
      <c r="C279" s="67"/>
      <c r="D279" s="76"/>
      <c r="E279" s="77"/>
      <c r="F279" s="83"/>
      <c r="G279" s="80"/>
      <c r="H279" s="79"/>
      <c r="I279" s="79"/>
      <c r="J279" s="79"/>
      <c r="K279" s="79"/>
      <c r="L279" s="79"/>
      <c r="M279" s="79"/>
      <c r="N279" s="79"/>
      <c r="O279" s="79"/>
      <c r="P279" s="72"/>
      <c r="Q279" s="77"/>
      <c r="R279" s="77"/>
      <c r="S279" s="82"/>
    </row>
    <row r="280">
      <c r="A280" s="67"/>
      <c r="B280" s="67"/>
      <c r="C280" s="67"/>
      <c r="D280" s="76"/>
      <c r="E280" s="77"/>
      <c r="F280" s="83"/>
      <c r="G280" s="80"/>
      <c r="H280" s="79"/>
      <c r="I280" s="79"/>
      <c r="J280" s="84"/>
      <c r="K280" s="79"/>
      <c r="L280" s="79"/>
      <c r="M280" s="79"/>
      <c r="N280" s="79"/>
      <c r="O280" s="79"/>
      <c r="P280" s="72"/>
      <c r="Q280" s="77"/>
      <c r="R280" s="77"/>
      <c r="S280" s="82"/>
    </row>
    <row r="281">
      <c r="A281" s="67"/>
      <c r="B281" s="67"/>
      <c r="C281" s="67"/>
      <c r="D281" s="76"/>
      <c r="E281" s="77"/>
      <c r="F281" s="76"/>
      <c r="G281" s="78"/>
      <c r="H281" s="79"/>
      <c r="I281" s="77"/>
      <c r="J281" s="77"/>
      <c r="K281" s="77"/>
      <c r="L281" s="77"/>
      <c r="M281" s="77"/>
      <c r="N281" s="80"/>
      <c r="O281" s="74"/>
      <c r="P281" s="85"/>
      <c r="Q281" s="77"/>
      <c r="R281" s="81"/>
      <c r="S281" s="82"/>
      <c r="T281" s="73"/>
    </row>
    <row r="282">
      <c r="A282" s="67"/>
      <c r="B282" s="67"/>
      <c r="C282" s="67"/>
      <c r="D282" s="76"/>
      <c r="E282" s="77"/>
      <c r="F282" s="76"/>
      <c r="G282" s="78"/>
      <c r="H282" s="79"/>
      <c r="I282" s="77"/>
      <c r="J282" s="77"/>
      <c r="K282" s="77"/>
      <c r="L282" s="77"/>
      <c r="M282" s="77"/>
      <c r="N282" s="80"/>
      <c r="O282" s="74"/>
      <c r="P282" s="85"/>
      <c r="Q282" s="77"/>
      <c r="R282" s="81"/>
      <c r="S282" s="82"/>
      <c r="T282" s="73"/>
    </row>
    <row r="283">
      <c r="A283" s="67"/>
      <c r="B283" s="67"/>
      <c r="C283" s="67"/>
      <c r="D283" s="76"/>
      <c r="E283" s="77"/>
      <c r="F283" s="83"/>
      <c r="G283" s="80"/>
      <c r="H283" s="79"/>
      <c r="I283" s="79"/>
      <c r="J283" s="79"/>
      <c r="K283" s="79"/>
      <c r="L283" s="79"/>
      <c r="M283" s="79"/>
      <c r="N283" s="79"/>
      <c r="O283" s="79"/>
      <c r="P283" s="72"/>
      <c r="Q283" s="77"/>
      <c r="R283" s="77"/>
      <c r="S283" s="82"/>
    </row>
    <row r="284">
      <c r="A284" s="67"/>
      <c r="B284" s="67"/>
      <c r="C284" s="67"/>
      <c r="D284" s="76"/>
      <c r="E284" s="77"/>
      <c r="F284" s="83"/>
      <c r="G284" s="80"/>
      <c r="H284" s="79"/>
      <c r="I284" s="79"/>
      <c r="J284" s="79"/>
      <c r="K284" s="79"/>
      <c r="L284" s="79"/>
      <c r="M284" s="79"/>
      <c r="N284" s="79"/>
      <c r="O284" s="79"/>
      <c r="P284" s="72"/>
      <c r="Q284" s="77"/>
      <c r="R284" s="77"/>
      <c r="S284" s="82"/>
      <c r="T284" s="73"/>
    </row>
    <row r="285">
      <c r="A285" s="67"/>
      <c r="B285" s="67"/>
      <c r="C285" s="67"/>
      <c r="D285" s="76"/>
      <c r="E285" s="77"/>
      <c r="F285" s="76"/>
      <c r="G285" s="78"/>
      <c r="H285" s="79"/>
      <c r="I285" s="77"/>
      <c r="J285" s="77"/>
      <c r="K285" s="77"/>
      <c r="L285" s="77"/>
      <c r="M285" s="77"/>
      <c r="N285" s="80"/>
      <c r="O285" s="74"/>
      <c r="P285" s="85"/>
      <c r="Q285" s="77"/>
      <c r="R285" s="81"/>
      <c r="S285" s="82"/>
      <c r="T285" s="73"/>
    </row>
    <row r="286">
      <c r="A286" s="67"/>
      <c r="B286" s="67"/>
      <c r="C286" s="67"/>
      <c r="D286" s="76"/>
      <c r="E286" s="77"/>
      <c r="F286" s="83"/>
      <c r="G286" s="80"/>
      <c r="H286" s="79"/>
      <c r="I286" s="79"/>
      <c r="J286" s="79"/>
      <c r="K286" s="79"/>
      <c r="L286" s="79"/>
      <c r="M286" s="79"/>
      <c r="N286" s="79"/>
      <c r="O286" s="79"/>
      <c r="P286" s="72"/>
      <c r="Q286" s="77"/>
      <c r="R286" s="77"/>
      <c r="S286" s="82"/>
    </row>
    <row r="287">
      <c r="A287" s="67"/>
      <c r="B287" s="67"/>
      <c r="C287" s="67"/>
      <c r="D287" s="76"/>
      <c r="E287" s="77"/>
      <c r="F287" s="83"/>
      <c r="G287" s="80"/>
      <c r="H287" s="79"/>
      <c r="I287" s="79"/>
      <c r="J287" s="79"/>
      <c r="K287" s="79"/>
      <c r="L287" s="79"/>
      <c r="M287" s="79"/>
      <c r="N287" s="79"/>
      <c r="O287" s="79"/>
      <c r="P287" s="72"/>
      <c r="Q287" s="77"/>
      <c r="R287" s="77"/>
      <c r="S287" s="82"/>
    </row>
    <row r="288">
      <c r="A288" s="67"/>
      <c r="B288" s="67"/>
      <c r="C288" s="67"/>
      <c r="D288" s="76"/>
      <c r="E288" s="77"/>
      <c r="F288" s="83"/>
      <c r="G288" s="80"/>
      <c r="H288" s="79"/>
      <c r="I288" s="79"/>
      <c r="J288" s="79"/>
      <c r="K288" s="79"/>
      <c r="L288" s="79"/>
      <c r="M288" s="79"/>
      <c r="N288" s="79"/>
      <c r="O288" s="79"/>
      <c r="P288" s="72"/>
      <c r="Q288" s="77"/>
      <c r="R288" s="77"/>
      <c r="S288" s="82"/>
    </row>
    <row r="289">
      <c r="A289" s="67"/>
      <c r="B289" s="67"/>
      <c r="C289" s="67"/>
      <c r="D289" s="76"/>
      <c r="E289" s="77"/>
      <c r="F289" s="83"/>
      <c r="G289" s="80"/>
      <c r="H289" s="79"/>
      <c r="I289" s="79"/>
      <c r="J289" s="79"/>
      <c r="K289" s="79"/>
      <c r="L289" s="79"/>
      <c r="M289" s="79"/>
      <c r="N289" s="79"/>
      <c r="O289" s="79"/>
      <c r="P289" s="72"/>
      <c r="Q289" s="77"/>
      <c r="R289" s="77"/>
      <c r="S289" s="82"/>
    </row>
    <row r="290">
      <c r="A290" s="67"/>
      <c r="B290" s="67"/>
      <c r="C290" s="67"/>
      <c r="D290" s="76"/>
      <c r="E290" s="77"/>
      <c r="F290" s="83"/>
      <c r="G290" s="80"/>
      <c r="H290" s="79"/>
      <c r="I290" s="79"/>
      <c r="J290" s="79"/>
      <c r="K290" s="79"/>
      <c r="L290" s="79"/>
      <c r="M290" s="79"/>
      <c r="N290" s="79"/>
      <c r="O290" s="79"/>
      <c r="P290" s="72"/>
      <c r="Q290" s="77"/>
      <c r="R290" s="77"/>
      <c r="S290" s="82"/>
      <c r="T290" s="73"/>
    </row>
    <row r="291">
      <c r="A291" s="67"/>
      <c r="B291" s="67"/>
      <c r="C291" s="67"/>
      <c r="D291" s="76"/>
      <c r="E291" s="77"/>
      <c r="F291" s="83"/>
      <c r="G291" s="80"/>
      <c r="H291" s="79"/>
      <c r="I291" s="79"/>
      <c r="J291" s="79"/>
      <c r="K291" s="79"/>
      <c r="L291" s="79"/>
      <c r="M291" s="79"/>
      <c r="N291" s="79"/>
      <c r="O291" s="79"/>
      <c r="P291" s="72"/>
      <c r="Q291" s="77"/>
      <c r="R291" s="77"/>
      <c r="S291" s="82"/>
    </row>
    <row r="292">
      <c r="A292" s="67"/>
      <c r="B292" s="67"/>
      <c r="C292" s="67"/>
      <c r="D292" s="76"/>
      <c r="E292" s="77"/>
      <c r="F292" s="83"/>
      <c r="G292" s="80"/>
      <c r="H292" s="79"/>
      <c r="I292" s="79"/>
      <c r="J292" s="79"/>
      <c r="K292" s="79"/>
      <c r="L292" s="79"/>
      <c r="M292" s="79"/>
      <c r="N292" s="79"/>
      <c r="O292" s="79"/>
      <c r="P292" s="72"/>
      <c r="Q292" s="77"/>
      <c r="R292" s="77"/>
      <c r="S292" s="82"/>
    </row>
    <row r="293">
      <c r="A293" s="67"/>
      <c r="B293" s="67"/>
      <c r="C293" s="67"/>
      <c r="D293" s="76"/>
      <c r="E293" s="77"/>
      <c r="F293" s="83"/>
      <c r="G293" s="80"/>
      <c r="H293" s="79"/>
      <c r="I293" s="79"/>
      <c r="J293" s="79"/>
      <c r="K293" s="79"/>
      <c r="L293" s="79"/>
      <c r="M293" s="79"/>
      <c r="N293" s="79"/>
      <c r="O293" s="79"/>
      <c r="P293" s="72"/>
      <c r="Q293" s="77"/>
      <c r="R293" s="77"/>
      <c r="S293" s="82"/>
      <c r="T293" s="73"/>
    </row>
    <row r="294">
      <c r="A294" s="67"/>
      <c r="B294" s="67"/>
      <c r="C294" s="67"/>
      <c r="D294" s="76"/>
      <c r="E294" s="77"/>
      <c r="F294" s="83"/>
      <c r="G294" s="80"/>
      <c r="H294" s="79"/>
      <c r="I294" s="79"/>
      <c r="J294" s="79"/>
      <c r="K294" s="79"/>
      <c r="L294" s="79"/>
      <c r="M294" s="79"/>
      <c r="N294" s="79"/>
      <c r="O294" s="79"/>
      <c r="P294" s="72"/>
      <c r="Q294" s="77"/>
      <c r="R294" s="77"/>
      <c r="S294" s="82"/>
      <c r="T294" s="73"/>
    </row>
    <row r="295">
      <c r="A295" s="67"/>
      <c r="B295" s="67"/>
      <c r="C295" s="67"/>
      <c r="D295" s="76"/>
      <c r="E295" s="77"/>
      <c r="F295" s="83"/>
      <c r="G295" s="80"/>
      <c r="H295" s="79"/>
      <c r="I295" s="79"/>
      <c r="J295" s="79"/>
      <c r="K295" s="79"/>
      <c r="L295" s="79"/>
      <c r="M295" s="79"/>
      <c r="N295" s="79"/>
      <c r="O295" s="79"/>
      <c r="P295" s="72"/>
      <c r="Q295" s="77"/>
      <c r="R295" s="77"/>
      <c r="S295" s="82"/>
    </row>
    <row r="296">
      <c r="A296" s="67"/>
      <c r="B296" s="67"/>
      <c r="C296" s="67"/>
      <c r="D296" s="76"/>
      <c r="E296" s="77"/>
      <c r="F296" s="83"/>
      <c r="G296" s="80"/>
      <c r="H296" s="79"/>
      <c r="I296" s="79"/>
      <c r="J296" s="79"/>
      <c r="K296" s="79"/>
      <c r="L296" s="79"/>
      <c r="M296" s="79"/>
      <c r="N296" s="79"/>
      <c r="O296" s="79"/>
      <c r="P296" s="72"/>
      <c r="Q296" s="77"/>
      <c r="R296" s="77"/>
      <c r="S296" s="82"/>
      <c r="T296" s="73"/>
    </row>
    <row r="297">
      <c r="A297" s="67"/>
      <c r="B297" s="67"/>
      <c r="C297" s="67"/>
      <c r="D297" s="76"/>
      <c r="E297" s="77"/>
      <c r="F297" s="83"/>
      <c r="G297" s="80"/>
      <c r="H297" s="79"/>
      <c r="I297" s="79"/>
      <c r="J297" s="79"/>
      <c r="K297" s="79"/>
      <c r="L297" s="79"/>
      <c r="M297" s="79"/>
      <c r="N297" s="79"/>
      <c r="O297" s="79"/>
      <c r="P297" s="72"/>
      <c r="Q297" s="77"/>
      <c r="R297" s="77"/>
      <c r="S297" s="82"/>
      <c r="T297" s="73"/>
    </row>
    <row r="298">
      <c r="A298" s="67"/>
      <c r="B298" s="67"/>
      <c r="C298" s="67"/>
      <c r="D298" s="76"/>
      <c r="E298" s="77"/>
      <c r="F298" s="83"/>
      <c r="G298" s="80"/>
      <c r="H298" s="79"/>
      <c r="I298" s="79"/>
      <c r="J298" s="79"/>
      <c r="K298" s="79"/>
      <c r="L298" s="79"/>
      <c r="M298" s="79"/>
      <c r="N298" s="79"/>
      <c r="O298" s="79"/>
      <c r="P298" s="72"/>
      <c r="Q298" s="77"/>
      <c r="R298" s="77"/>
      <c r="S298" s="82"/>
      <c r="T298" s="73"/>
    </row>
    <row r="299">
      <c r="A299" s="67"/>
      <c r="B299" s="67"/>
      <c r="C299" s="67"/>
      <c r="D299" s="76"/>
      <c r="E299" s="77"/>
      <c r="F299" s="83"/>
      <c r="G299" s="80"/>
      <c r="H299" s="79"/>
      <c r="I299" s="79"/>
      <c r="J299" s="79"/>
      <c r="K299" s="79"/>
      <c r="L299" s="79"/>
      <c r="M299" s="79"/>
      <c r="N299" s="79"/>
      <c r="O299" s="79"/>
      <c r="P299" s="72"/>
      <c r="Q299" s="77"/>
      <c r="R299" s="77"/>
      <c r="S299" s="82"/>
    </row>
    <row r="300">
      <c r="A300" s="67"/>
      <c r="B300" s="67"/>
      <c r="C300" s="67"/>
      <c r="D300" s="76"/>
      <c r="E300" s="77"/>
      <c r="F300" s="83"/>
      <c r="G300" s="80"/>
      <c r="H300" s="79"/>
      <c r="I300" s="79"/>
      <c r="J300" s="79"/>
      <c r="K300" s="79"/>
      <c r="L300" s="79"/>
      <c r="M300" s="79"/>
      <c r="N300" s="79"/>
      <c r="O300" s="79"/>
      <c r="P300" s="72"/>
      <c r="Q300" s="77"/>
      <c r="R300" s="77"/>
      <c r="S300" s="82"/>
    </row>
    <row r="301">
      <c r="A301" s="67"/>
      <c r="B301" s="67"/>
      <c r="C301" s="67"/>
      <c r="D301" s="76"/>
      <c r="E301" s="77"/>
      <c r="F301" s="76"/>
      <c r="G301" s="78"/>
      <c r="H301" s="79"/>
      <c r="I301" s="77"/>
      <c r="J301" s="77"/>
      <c r="K301" s="77"/>
      <c r="L301" s="77"/>
      <c r="M301" s="77"/>
      <c r="N301" s="80"/>
      <c r="O301" s="74"/>
      <c r="P301" s="74"/>
      <c r="Q301" s="77"/>
      <c r="R301" s="81"/>
      <c r="S301" s="82"/>
      <c r="T301" s="73"/>
    </row>
    <row r="302">
      <c r="A302" s="67"/>
      <c r="B302" s="67"/>
      <c r="C302" s="67"/>
      <c r="D302" s="76"/>
      <c r="E302" s="77"/>
      <c r="F302" s="83"/>
      <c r="G302" s="80"/>
      <c r="H302" s="79"/>
      <c r="I302" s="79"/>
      <c r="J302" s="79"/>
      <c r="K302" s="79"/>
      <c r="L302" s="79"/>
      <c r="M302" s="79"/>
      <c r="N302" s="79"/>
      <c r="O302" s="79"/>
      <c r="P302" s="72"/>
      <c r="Q302" s="77"/>
      <c r="R302" s="77"/>
      <c r="S302" s="82"/>
      <c r="T302" s="73"/>
    </row>
    <row r="303">
      <c r="A303" s="67"/>
      <c r="B303" s="67"/>
      <c r="C303" s="67"/>
      <c r="D303" s="76"/>
      <c r="E303" s="77"/>
      <c r="F303" s="83"/>
      <c r="G303" s="80"/>
      <c r="H303" s="79"/>
      <c r="I303" s="79"/>
      <c r="J303" s="79"/>
      <c r="K303" s="79"/>
      <c r="L303" s="79"/>
      <c r="M303" s="79"/>
      <c r="N303" s="79"/>
      <c r="O303" s="79"/>
      <c r="P303" s="72"/>
      <c r="Q303" s="77"/>
      <c r="R303" s="77"/>
      <c r="S303" s="82"/>
    </row>
    <row r="304">
      <c r="A304" s="67"/>
      <c r="B304" s="67"/>
      <c r="C304" s="67"/>
      <c r="D304" s="76"/>
      <c r="E304" s="77"/>
      <c r="F304" s="83"/>
      <c r="G304" s="80"/>
      <c r="H304" s="79"/>
      <c r="I304" s="79"/>
      <c r="J304" s="79"/>
      <c r="K304" s="79"/>
      <c r="L304" s="79"/>
      <c r="M304" s="79"/>
      <c r="N304" s="79"/>
      <c r="O304" s="79"/>
      <c r="P304" s="72"/>
      <c r="Q304" s="77"/>
      <c r="R304" s="77"/>
      <c r="S304" s="82"/>
    </row>
    <row r="305">
      <c r="A305" s="67"/>
      <c r="B305" s="67"/>
      <c r="C305" s="67"/>
      <c r="D305" s="76"/>
      <c r="E305" s="77"/>
      <c r="F305" s="83"/>
      <c r="G305" s="80"/>
      <c r="H305" s="79"/>
      <c r="I305" s="79"/>
      <c r="J305" s="79"/>
      <c r="K305" s="79"/>
      <c r="L305" s="79"/>
      <c r="M305" s="79"/>
      <c r="N305" s="79"/>
      <c r="O305" s="79"/>
      <c r="P305" s="72"/>
      <c r="Q305" s="77"/>
      <c r="R305" s="77"/>
      <c r="S305" s="82"/>
    </row>
    <row r="306">
      <c r="A306" s="67"/>
      <c r="B306" s="67"/>
      <c r="C306" s="67"/>
      <c r="D306" s="76"/>
      <c r="E306" s="77"/>
      <c r="F306" s="83"/>
      <c r="G306" s="80"/>
      <c r="H306" s="79"/>
      <c r="I306" s="79"/>
      <c r="J306" s="79"/>
      <c r="K306" s="79"/>
      <c r="L306" s="79"/>
      <c r="M306" s="79"/>
      <c r="N306" s="79"/>
      <c r="O306" s="79"/>
      <c r="P306" s="72"/>
      <c r="Q306" s="77"/>
      <c r="R306" s="77"/>
      <c r="S306" s="82"/>
    </row>
    <row r="307">
      <c r="A307" s="67"/>
      <c r="B307" s="67"/>
      <c r="C307" s="67"/>
      <c r="D307" s="76"/>
      <c r="E307" s="77"/>
      <c r="F307" s="83"/>
      <c r="G307" s="80"/>
      <c r="H307" s="79"/>
      <c r="I307" s="79"/>
      <c r="J307" s="79"/>
      <c r="K307" s="79"/>
      <c r="L307" s="79"/>
      <c r="M307" s="79"/>
      <c r="N307" s="79"/>
      <c r="O307" s="79"/>
      <c r="P307" s="72"/>
      <c r="Q307" s="77"/>
      <c r="R307" s="77"/>
      <c r="S307" s="82"/>
      <c r="T307" s="73"/>
    </row>
    <row r="308">
      <c r="A308" s="67"/>
      <c r="B308" s="67"/>
      <c r="C308" s="67"/>
      <c r="D308" s="76"/>
      <c r="E308" s="77"/>
      <c r="F308" s="83"/>
      <c r="G308" s="80"/>
      <c r="H308" s="79"/>
      <c r="I308" s="79"/>
      <c r="J308" s="79"/>
      <c r="K308" s="79"/>
      <c r="L308" s="79"/>
      <c r="M308" s="79"/>
      <c r="N308" s="79"/>
      <c r="O308" s="79"/>
      <c r="P308" s="72"/>
      <c r="Q308" s="77"/>
      <c r="R308" s="77"/>
      <c r="S308" s="82"/>
      <c r="T308" s="73"/>
    </row>
    <row r="309">
      <c r="A309" s="67"/>
      <c r="B309" s="67"/>
      <c r="C309" s="67"/>
      <c r="D309" s="76"/>
      <c r="E309" s="77"/>
      <c r="F309" s="76"/>
      <c r="G309" s="78"/>
      <c r="H309" s="79"/>
      <c r="I309" s="77"/>
      <c r="J309" s="77"/>
      <c r="K309" s="77"/>
      <c r="L309" s="77"/>
      <c r="M309" s="77"/>
      <c r="N309" s="80"/>
      <c r="O309" s="74"/>
      <c r="P309" s="85"/>
      <c r="Q309" s="77"/>
      <c r="R309" s="81"/>
      <c r="S309" s="82"/>
      <c r="T309" s="73"/>
    </row>
    <row r="310">
      <c r="A310" s="67"/>
      <c r="B310" s="67"/>
      <c r="C310" s="67"/>
      <c r="D310" s="76"/>
      <c r="E310" s="77"/>
      <c r="F310" s="83"/>
      <c r="G310" s="80"/>
      <c r="H310" s="79"/>
      <c r="I310" s="79"/>
      <c r="J310" s="79"/>
      <c r="K310" s="79"/>
      <c r="L310" s="79"/>
      <c r="M310" s="79"/>
      <c r="N310" s="79"/>
      <c r="O310" s="79"/>
      <c r="P310" s="72"/>
      <c r="Q310" s="77"/>
      <c r="R310" s="77"/>
      <c r="S310" s="82"/>
    </row>
    <row r="311">
      <c r="A311" s="67"/>
      <c r="B311" s="67"/>
      <c r="C311" s="67"/>
      <c r="D311" s="76"/>
      <c r="E311" s="77"/>
      <c r="F311" s="83"/>
      <c r="G311" s="80"/>
      <c r="H311" s="79"/>
      <c r="I311" s="79"/>
      <c r="J311" s="79"/>
      <c r="K311" s="79"/>
      <c r="L311" s="79"/>
      <c r="M311" s="79"/>
      <c r="N311" s="79"/>
      <c r="O311" s="79"/>
      <c r="P311" s="72"/>
      <c r="Q311" s="77"/>
      <c r="R311" s="77"/>
      <c r="S311" s="82"/>
      <c r="T311" s="73"/>
    </row>
    <row r="312">
      <c r="A312" s="67"/>
      <c r="B312" s="67"/>
      <c r="C312" s="67"/>
      <c r="D312" s="76"/>
      <c r="E312" s="77"/>
      <c r="F312" s="83"/>
      <c r="G312" s="80"/>
      <c r="H312" s="79"/>
      <c r="I312" s="79"/>
      <c r="J312" s="79"/>
      <c r="K312" s="79"/>
      <c r="L312" s="79"/>
      <c r="M312" s="79"/>
      <c r="N312" s="79"/>
      <c r="O312" s="79"/>
      <c r="P312" s="72"/>
      <c r="Q312" s="77"/>
      <c r="R312" s="77"/>
      <c r="S312" s="82"/>
    </row>
    <row r="313">
      <c r="A313" s="67"/>
      <c r="B313" s="67"/>
      <c r="C313" s="67"/>
      <c r="D313" s="76"/>
      <c r="E313" s="77"/>
      <c r="F313" s="83"/>
      <c r="G313" s="80"/>
      <c r="H313" s="79"/>
      <c r="I313" s="79"/>
      <c r="J313" s="79"/>
      <c r="K313" s="79"/>
      <c r="L313" s="79"/>
      <c r="M313" s="79"/>
      <c r="N313" s="79"/>
      <c r="O313" s="79"/>
      <c r="P313" s="72"/>
      <c r="Q313" s="77"/>
      <c r="R313" s="77"/>
      <c r="S313" s="82"/>
    </row>
    <row r="314">
      <c r="A314" s="67"/>
      <c r="B314" s="67"/>
      <c r="C314" s="67"/>
      <c r="D314" s="76"/>
      <c r="E314" s="77"/>
      <c r="F314" s="83"/>
      <c r="G314" s="80"/>
      <c r="H314" s="79"/>
      <c r="I314" s="79"/>
      <c r="J314" s="79"/>
      <c r="K314" s="79"/>
      <c r="L314" s="79"/>
      <c r="M314" s="79"/>
      <c r="N314" s="79"/>
      <c r="O314" s="79"/>
      <c r="P314" s="72"/>
      <c r="Q314" s="77"/>
      <c r="R314" s="77"/>
      <c r="S314" s="82"/>
    </row>
    <row r="315">
      <c r="A315" s="67"/>
      <c r="B315" s="67"/>
      <c r="C315" s="67"/>
      <c r="D315" s="76"/>
      <c r="E315" s="77"/>
      <c r="F315" s="83"/>
      <c r="G315" s="80"/>
      <c r="H315" s="79"/>
      <c r="I315" s="79"/>
      <c r="J315" s="79"/>
      <c r="K315" s="79"/>
      <c r="L315" s="79"/>
      <c r="M315" s="79"/>
      <c r="N315" s="79"/>
      <c r="O315" s="79"/>
      <c r="P315" s="72"/>
      <c r="Q315" s="77"/>
      <c r="R315" s="77"/>
      <c r="S315" s="82"/>
    </row>
    <row r="316">
      <c r="A316" s="67"/>
      <c r="B316" s="67"/>
      <c r="C316" s="67"/>
      <c r="D316" s="76"/>
      <c r="E316" s="77"/>
      <c r="F316" s="83"/>
      <c r="G316" s="80"/>
      <c r="H316" s="79"/>
      <c r="I316" s="79"/>
      <c r="J316" s="79"/>
      <c r="K316" s="79"/>
      <c r="L316" s="79"/>
      <c r="M316" s="79"/>
      <c r="N316" s="79"/>
      <c r="O316" s="79"/>
      <c r="P316" s="72"/>
      <c r="Q316" s="77"/>
      <c r="R316" s="77"/>
      <c r="S316" s="82"/>
    </row>
    <row r="317">
      <c r="A317" s="67"/>
      <c r="B317" s="67"/>
      <c r="C317" s="67"/>
      <c r="D317" s="76"/>
      <c r="E317" s="77"/>
      <c r="F317" s="83"/>
      <c r="G317" s="80"/>
      <c r="H317" s="79"/>
      <c r="I317" s="79"/>
      <c r="J317" s="79"/>
      <c r="K317" s="79"/>
      <c r="L317" s="79"/>
      <c r="M317" s="79"/>
      <c r="N317" s="79"/>
      <c r="O317" s="79"/>
      <c r="P317" s="72"/>
      <c r="Q317" s="77"/>
      <c r="R317" s="77"/>
      <c r="S317" s="82"/>
    </row>
    <row r="318">
      <c r="A318" s="67"/>
      <c r="B318" s="67"/>
      <c r="C318" s="67"/>
      <c r="D318" s="76"/>
      <c r="E318" s="77"/>
      <c r="F318" s="83"/>
      <c r="G318" s="80"/>
      <c r="H318" s="79"/>
      <c r="I318" s="79"/>
      <c r="J318" s="79"/>
      <c r="K318" s="79"/>
      <c r="L318" s="79"/>
      <c r="M318" s="79"/>
      <c r="N318" s="79"/>
      <c r="O318" s="79"/>
      <c r="P318" s="72"/>
      <c r="Q318" s="77"/>
      <c r="R318" s="77"/>
      <c r="S318" s="82"/>
    </row>
    <row r="319">
      <c r="A319" s="67"/>
      <c r="B319" s="67"/>
      <c r="C319" s="67"/>
      <c r="D319" s="76"/>
      <c r="E319" s="77"/>
      <c r="F319" s="83"/>
      <c r="G319" s="80"/>
      <c r="H319" s="79"/>
      <c r="I319" s="79"/>
      <c r="J319" s="79"/>
      <c r="K319" s="79"/>
      <c r="L319" s="79"/>
      <c r="M319" s="79"/>
      <c r="N319" s="79"/>
      <c r="O319" s="79"/>
      <c r="P319" s="72"/>
      <c r="Q319" s="77"/>
      <c r="R319" s="77"/>
      <c r="S319" s="82"/>
    </row>
    <row r="320">
      <c r="A320" s="67"/>
      <c r="B320" s="67"/>
      <c r="C320" s="67"/>
      <c r="D320" s="76"/>
      <c r="E320" s="77"/>
      <c r="F320" s="83"/>
      <c r="G320" s="80"/>
      <c r="H320" s="79"/>
      <c r="I320" s="79"/>
      <c r="J320" s="79"/>
      <c r="K320" s="79"/>
      <c r="L320" s="79"/>
      <c r="M320" s="79"/>
      <c r="N320" s="79"/>
      <c r="O320" s="79"/>
      <c r="P320" s="72"/>
      <c r="Q320" s="77"/>
      <c r="R320" s="77"/>
      <c r="S320" s="82"/>
      <c r="T320" s="73"/>
    </row>
    <row r="321">
      <c r="A321" s="67"/>
      <c r="B321" s="67"/>
      <c r="C321" s="67"/>
      <c r="D321" s="76"/>
      <c r="E321" s="77"/>
      <c r="F321" s="83"/>
      <c r="G321" s="80"/>
      <c r="H321" s="79"/>
      <c r="I321" s="79"/>
      <c r="J321" s="79"/>
      <c r="K321" s="79"/>
      <c r="L321" s="79"/>
      <c r="M321" s="79"/>
      <c r="N321" s="79"/>
      <c r="O321" s="79"/>
      <c r="P321" s="72"/>
      <c r="Q321" s="77"/>
      <c r="R321" s="77"/>
      <c r="S321" s="82"/>
    </row>
    <row r="322">
      <c r="A322" s="67"/>
      <c r="B322" s="67"/>
      <c r="C322" s="67"/>
      <c r="D322" s="76"/>
      <c r="E322" s="77"/>
      <c r="F322" s="76"/>
      <c r="G322" s="78"/>
      <c r="H322" s="79"/>
      <c r="I322" s="77"/>
      <c r="J322" s="77"/>
      <c r="K322" s="77"/>
      <c r="L322" s="77"/>
      <c r="M322" s="77"/>
      <c r="N322" s="80"/>
      <c r="O322" s="74"/>
      <c r="P322" s="85"/>
      <c r="Q322" s="77"/>
      <c r="R322" s="81"/>
      <c r="S322" s="82"/>
      <c r="T322" s="73"/>
    </row>
    <row r="323">
      <c r="A323" s="67"/>
      <c r="B323" s="67"/>
      <c r="C323" s="67"/>
      <c r="D323" s="76"/>
      <c r="E323" s="77"/>
      <c r="F323" s="83"/>
      <c r="G323" s="80"/>
      <c r="H323" s="79"/>
      <c r="I323" s="79"/>
      <c r="J323" s="79"/>
      <c r="K323" s="79"/>
      <c r="L323" s="79"/>
      <c r="M323" s="79"/>
      <c r="N323" s="79"/>
      <c r="O323" s="79"/>
      <c r="P323" s="86"/>
      <c r="Q323" s="77"/>
      <c r="R323" s="77"/>
      <c r="S323" s="82"/>
      <c r="T323" s="73"/>
    </row>
    <row r="324">
      <c r="A324" s="67"/>
      <c r="B324" s="67"/>
      <c r="C324" s="67"/>
      <c r="D324" s="76"/>
      <c r="E324" s="77"/>
      <c r="F324" s="83"/>
      <c r="G324" s="80"/>
      <c r="H324" s="79"/>
      <c r="I324" s="79"/>
      <c r="J324" s="79"/>
      <c r="K324" s="79"/>
      <c r="L324" s="79"/>
      <c r="M324" s="79"/>
      <c r="N324" s="79"/>
      <c r="O324" s="79"/>
      <c r="P324" s="72"/>
      <c r="Q324" s="77"/>
      <c r="R324" s="77"/>
      <c r="S324" s="82"/>
      <c r="T324" s="73"/>
    </row>
    <row r="325">
      <c r="A325" s="67"/>
      <c r="B325" s="67"/>
      <c r="C325" s="67"/>
      <c r="D325" s="76"/>
      <c r="E325" s="77"/>
      <c r="F325" s="83"/>
      <c r="G325" s="80"/>
      <c r="H325" s="79"/>
      <c r="I325" s="79"/>
      <c r="J325" s="79"/>
      <c r="K325" s="79"/>
      <c r="L325" s="79"/>
      <c r="M325" s="79"/>
      <c r="N325" s="79"/>
      <c r="O325" s="79"/>
      <c r="P325" s="72"/>
      <c r="Q325" s="77"/>
      <c r="R325" s="77"/>
      <c r="S325" s="82"/>
    </row>
    <row r="326">
      <c r="A326" s="67"/>
      <c r="B326" s="67"/>
      <c r="C326" s="67"/>
      <c r="D326" s="76"/>
      <c r="E326" s="77"/>
      <c r="F326" s="83"/>
      <c r="G326" s="80"/>
      <c r="H326" s="79"/>
      <c r="I326" s="79"/>
      <c r="J326" s="79"/>
      <c r="K326" s="79"/>
      <c r="L326" s="79"/>
      <c r="M326" s="79"/>
      <c r="N326" s="79"/>
      <c r="O326" s="79"/>
      <c r="P326" s="72"/>
      <c r="Q326" s="77"/>
      <c r="R326" s="77"/>
      <c r="S326" s="82"/>
      <c r="T326" s="73"/>
    </row>
    <row r="327">
      <c r="A327" s="67"/>
      <c r="B327" s="67"/>
      <c r="C327" s="67"/>
      <c r="D327" s="76"/>
      <c r="E327" s="77"/>
      <c r="F327" s="83"/>
      <c r="G327" s="80"/>
      <c r="H327" s="79"/>
      <c r="I327" s="79"/>
      <c r="J327" s="79"/>
      <c r="K327" s="79"/>
      <c r="L327" s="79"/>
      <c r="M327" s="79"/>
      <c r="N327" s="79"/>
      <c r="O327" s="79"/>
      <c r="P327" s="72"/>
      <c r="Q327" s="77"/>
      <c r="R327" s="77"/>
      <c r="S327" s="82"/>
    </row>
    <row r="328">
      <c r="A328" s="67"/>
      <c r="B328" s="67"/>
      <c r="C328" s="67"/>
      <c r="D328" s="76"/>
      <c r="E328" s="77"/>
      <c r="F328" s="83"/>
      <c r="G328" s="80"/>
      <c r="H328" s="79"/>
      <c r="I328" s="79"/>
      <c r="J328" s="79"/>
      <c r="K328" s="79"/>
      <c r="L328" s="79"/>
      <c r="M328" s="79"/>
      <c r="N328" s="79"/>
      <c r="O328" s="79"/>
      <c r="P328" s="72"/>
      <c r="Q328" s="77"/>
      <c r="R328" s="77"/>
      <c r="S328" s="82"/>
    </row>
    <row r="329">
      <c r="A329" s="67"/>
      <c r="B329" s="67"/>
      <c r="C329" s="67"/>
      <c r="D329" s="76"/>
      <c r="E329" s="77"/>
      <c r="F329" s="83"/>
      <c r="G329" s="80"/>
      <c r="H329" s="79"/>
      <c r="I329" s="79"/>
      <c r="J329" s="79"/>
      <c r="K329" s="79"/>
      <c r="L329" s="79"/>
      <c r="M329" s="79"/>
      <c r="N329" s="79"/>
      <c r="O329" s="79"/>
      <c r="P329" s="72"/>
      <c r="Q329" s="77"/>
      <c r="R329" s="77"/>
      <c r="S329" s="82"/>
      <c r="T329" s="73"/>
    </row>
    <row r="330">
      <c r="A330" s="67"/>
      <c r="B330" s="67"/>
      <c r="C330" s="67"/>
      <c r="D330" s="76"/>
      <c r="E330" s="77"/>
      <c r="F330" s="83"/>
      <c r="G330" s="80"/>
      <c r="H330" s="79"/>
      <c r="I330" s="79"/>
      <c r="J330" s="79"/>
      <c r="K330" s="79"/>
      <c r="L330" s="79"/>
      <c r="M330" s="79"/>
      <c r="N330" s="79"/>
      <c r="O330" s="79"/>
      <c r="P330" s="72"/>
      <c r="Q330" s="77"/>
      <c r="R330" s="77"/>
      <c r="S330" s="82"/>
    </row>
    <row r="331">
      <c r="A331" s="67"/>
      <c r="B331" s="67"/>
      <c r="C331" s="67"/>
      <c r="D331" s="76"/>
      <c r="E331" s="77"/>
      <c r="F331" s="83"/>
      <c r="G331" s="80"/>
      <c r="H331" s="79"/>
      <c r="I331" s="79"/>
      <c r="J331" s="79"/>
      <c r="K331" s="79"/>
      <c r="L331" s="79"/>
      <c r="M331" s="79"/>
      <c r="N331" s="79"/>
      <c r="O331" s="79"/>
      <c r="P331" s="72"/>
      <c r="Q331" s="77"/>
      <c r="R331" s="77"/>
      <c r="S331" s="82"/>
      <c r="T331" s="73"/>
    </row>
    <row r="332">
      <c r="A332" s="67"/>
      <c r="B332" s="67"/>
      <c r="C332" s="67"/>
      <c r="D332" s="76"/>
      <c r="E332" s="77"/>
      <c r="F332" s="83"/>
      <c r="G332" s="80"/>
      <c r="H332" s="79"/>
      <c r="I332" s="79"/>
      <c r="J332" s="79"/>
      <c r="K332" s="79"/>
      <c r="L332" s="79"/>
      <c r="M332" s="79"/>
      <c r="N332" s="79"/>
      <c r="O332" s="79"/>
      <c r="P332" s="72"/>
      <c r="Q332" s="77"/>
      <c r="R332" s="77"/>
      <c r="S332" s="82"/>
      <c r="T332" s="73"/>
    </row>
    <row r="333">
      <c r="A333" s="67"/>
      <c r="B333" s="67"/>
      <c r="C333" s="67"/>
      <c r="D333" s="76"/>
      <c r="E333" s="77"/>
      <c r="F333" s="83"/>
      <c r="G333" s="80"/>
      <c r="H333" s="79"/>
      <c r="I333" s="79"/>
      <c r="J333" s="79"/>
      <c r="K333" s="79"/>
      <c r="L333" s="79"/>
      <c r="M333" s="79"/>
      <c r="N333" s="79"/>
      <c r="O333" s="79"/>
      <c r="P333" s="72"/>
      <c r="Q333" s="77"/>
      <c r="R333" s="77"/>
      <c r="S333" s="82"/>
      <c r="T333" s="73"/>
    </row>
    <row r="334">
      <c r="A334" s="67"/>
      <c r="B334" s="67"/>
      <c r="C334" s="67"/>
      <c r="D334" s="76"/>
      <c r="E334" s="77"/>
      <c r="F334" s="83"/>
      <c r="G334" s="80"/>
      <c r="H334" s="79"/>
      <c r="I334" s="79"/>
      <c r="J334" s="79"/>
      <c r="K334" s="79"/>
      <c r="L334" s="79"/>
      <c r="M334" s="79"/>
      <c r="N334" s="79"/>
      <c r="O334" s="79"/>
      <c r="P334" s="72"/>
      <c r="Q334" s="77"/>
      <c r="R334" s="77"/>
      <c r="S334" s="82"/>
    </row>
    <row r="335">
      <c r="A335" s="67"/>
      <c r="B335" s="67"/>
      <c r="C335" s="67"/>
      <c r="D335" s="76"/>
      <c r="E335" s="77"/>
      <c r="F335" s="83"/>
      <c r="G335" s="80"/>
      <c r="H335" s="79"/>
      <c r="I335" s="79"/>
      <c r="J335" s="79"/>
      <c r="K335" s="79"/>
      <c r="L335" s="79"/>
      <c r="M335" s="79"/>
      <c r="N335" s="79"/>
      <c r="O335" s="79"/>
      <c r="P335" s="72"/>
      <c r="Q335" s="77"/>
      <c r="R335" s="77"/>
      <c r="S335" s="82"/>
    </row>
    <row r="336">
      <c r="A336" s="67"/>
      <c r="B336" s="67"/>
      <c r="C336" s="67"/>
      <c r="D336" s="76"/>
      <c r="E336" s="77"/>
      <c r="F336" s="83"/>
      <c r="G336" s="80"/>
      <c r="H336" s="79"/>
      <c r="I336" s="79"/>
      <c r="J336" s="79"/>
      <c r="K336" s="79"/>
      <c r="L336" s="79"/>
      <c r="M336" s="79"/>
      <c r="N336" s="79"/>
      <c r="O336" s="79"/>
      <c r="P336" s="72"/>
      <c r="Q336" s="77"/>
      <c r="R336" s="77"/>
      <c r="S336" s="82"/>
      <c r="T336" s="73"/>
    </row>
    <row r="337">
      <c r="A337" s="67"/>
      <c r="B337" s="67"/>
      <c r="C337" s="67"/>
      <c r="D337" s="76"/>
      <c r="E337" s="77"/>
      <c r="F337" s="83"/>
      <c r="G337" s="80"/>
      <c r="H337" s="79"/>
      <c r="I337" s="79"/>
      <c r="J337" s="79"/>
      <c r="K337" s="79"/>
      <c r="L337" s="79"/>
      <c r="M337" s="79"/>
      <c r="N337" s="79"/>
      <c r="O337" s="79"/>
      <c r="P337" s="72"/>
      <c r="Q337" s="77"/>
      <c r="R337" s="77"/>
      <c r="S337" s="82"/>
      <c r="T337" s="73"/>
    </row>
    <row r="338">
      <c r="A338" s="67"/>
      <c r="B338" s="67"/>
      <c r="C338" s="67"/>
      <c r="D338" s="61"/>
      <c r="E338" s="62"/>
      <c r="F338" s="87"/>
      <c r="G338" s="64"/>
      <c r="H338" s="88"/>
      <c r="I338" s="89"/>
      <c r="J338" s="88"/>
      <c r="K338" s="88"/>
      <c r="L338" s="88"/>
      <c r="M338" s="88"/>
      <c r="N338" s="88"/>
      <c r="O338" s="88"/>
      <c r="P338" s="88"/>
      <c r="Q338" s="62"/>
      <c r="R338" s="62"/>
      <c r="S338" s="63"/>
    </row>
    <row r="339">
      <c r="A339" s="67"/>
      <c r="B339" s="67"/>
      <c r="C339" s="67"/>
      <c r="D339" s="61"/>
      <c r="E339" s="62"/>
      <c r="F339" s="87"/>
      <c r="G339" s="64"/>
      <c r="H339" s="88"/>
      <c r="I339" s="88"/>
      <c r="J339" s="88"/>
      <c r="K339" s="88"/>
      <c r="L339" s="88"/>
      <c r="M339" s="88"/>
      <c r="N339" s="88"/>
      <c r="O339" s="88"/>
      <c r="P339" s="88"/>
      <c r="Q339" s="62"/>
      <c r="R339" s="62"/>
      <c r="S339" s="63"/>
    </row>
    <row r="340">
      <c r="A340" s="67"/>
      <c r="B340" s="67"/>
      <c r="C340" s="67"/>
      <c r="D340" s="61"/>
      <c r="E340" s="62"/>
      <c r="F340" s="87"/>
      <c r="G340" s="64"/>
      <c r="H340" s="88"/>
      <c r="I340" s="88"/>
      <c r="J340" s="88"/>
      <c r="K340" s="88"/>
      <c r="L340" s="88"/>
      <c r="M340" s="88"/>
      <c r="N340" s="88"/>
      <c r="O340" s="88"/>
      <c r="P340" s="88"/>
      <c r="Q340" s="62"/>
      <c r="R340" s="62"/>
      <c r="S340" s="63"/>
    </row>
    <row r="341">
      <c r="A341" s="67"/>
      <c r="B341" s="67"/>
      <c r="C341" s="67"/>
      <c r="D341" s="61"/>
      <c r="E341" s="62"/>
      <c r="F341" s="87"/>
      <c r="G341" s="64"/>
      <c r="H341" s="88"/>
      <c r="I341" s="89"/>
      <c r="J341" s="88"/>
      <c r="K341" s="88"/>
      <c r="L341" s="88"/>
      <c r="M341" s="88"/>
      <c r="N341" s="88"/>
      <c r="O341" s="88"/>
      <c r="P341" s="88"/>
      <c r="Q341" s="62"/>
      <c r="R341" s="62"/>
      <c r="S341" s="63"/>
    </row>
    <row r="342">
      <c r="A342" s="67"/>
      <c r="B342" s="67"/>
      <c r="C342" s="67"/>
      <c r="D342" s="61"/>
      <c r="E342" s="62"/>
      <c r="F342" s="87"/>
      <c r="G342" s="64"/>
      <c r="H342" s="88"/>
      <c r="I342" s="88"/>
      <c r="J342" s="88"/>
      <c r="K342" s="88"/>
      <c r="L342" s="88"/>
      <c r="M342" s="88"/>
      <c r="N342" s="88"/>
      <c r="O342" s="88"/>
      <c r="P342" s="88"/>
      <c r="Q342" s="62"/>
      <c r="R342" s="62"/>
      <c r="S342" s="63"/>
    </row>
    <row r="343">
      <c r="A343" s="67"/>
      <c r="B343" s="67"/>
      <c r="C343" s="67"/>
      <c r="D343" s="61"/>
      <c r="E343" s="62"/>
      <c r="F343" s="87"/>
      <c r="G343" s="64"/>
      <c r="H343" s="88"/>
      <c r="I343" s="88"/>
      <c r="J343" s="88"/>
      <c r="K343" s="88"/>
      <c r="L343" s="88"/>
      <c r="M343" s="88"/>
      <c r="N343" s="88"/>
      <c r="O343" s="88"/>
      <c r="P343" s="88"/>
      <c r="Q343" s="62"/>
      <c r="R343" s="62"/>
      <c r="S343" s="63"/>
    </row>
    <row r="344">
      <c r="A344" s="67"/>
      <c r="B344" s="67"/>
      <c r="C344" s="67"/>
      <c r="D344" s="61"/>
      <c r="E344" s="62"/>
      <c r="F344" s="87"/>
      <c r="G344" s="64"/>
      <c r="H344" s="88"/>
      <c r="I344" s="88"/>
      <c r="J344" s="88"/>
      <c r="K344" s="88"/>
      <c r="L344" s="88"/>
      <c r="M344" s="88"/>
      <c r="N344" s="88"/>
      <c r="O344" s="88"/>
      <c r="P344" s="88"/>
      <c r="Q344" s="62"/>
      <c r="R344" s="62"/>
      <c r="S344" s="63"/>
    </row>
    <row r="345">
      <c r="A345" s="67"/>
      <c r="B345" s="67"/>
      <c r="C345" s="67"/>
      <c r="D345" s="61"/>
      <c r="E345" s="62"/>
      <c r="F345" s="87"/>
      <c r="G345" s="64"/>
      <c r="H345" s="88"/>
      <c r="I345" s="88"/>
      <c r="J345" s="88"/>
      <c r="K345" s="88"/>
      <c r="L345" s="88"/>
      <c r="M345" s="88"/>
      <c r="N345" s="88"/>
      <c r="O345" s="88"/>
      <c r="P345" s="88"/>
      <c r="Q345" s="62"/>
      <c r="R345" s="62"/>
      <c r="S345" s="63"/>
    </row>
    <row r="346">
      <c r="A346" s="67"/>
      <c r="B346" s="67"/>
      <c r="C346" s="67"/>
      <c r="D346" s="61"/>
      <c r="E346" s="62"/>
      <c r="F346" s="87"/>
      <c r="G346" s="64"/>
      <c r="H346" s="88"/>
      <c r="I346" s="88"/>
      <c r="J346" s="88"/>
      <c r="K346" s="88"/>
      <c r="L346" s="88"/>
      <c r="M346" s="88"/>
      <c r="N346" s="88"/>
      <c r="O346" s="88"/>
      <c r="P346" s="88"/>
      <c r="Q346" s="62"/>
      <c r="R346" s="62"/>
      <c r="S346" s="63"/>
    </row>
    <row r="347">
      <c r="A347" s="67"/>
      <c r="B347" s="67"/>
      <c r="C347" s="67"/>
      <c r="D347" s="61"/>
      <c r="E347" s="62"/>
      <c r="F347" s="87"/>
      <c r="G347" s="64"/>
      <c r="H347" s="88"/>
      <c r="I347" s="88"/>
      <c r="J347" s="88"/>
      <c r="K347" s="88"/>
      <c r="L347" s="88"/>
      <c r="M347" s="88"/>
      <c r="N347" s="88"/>
      <c r="O347" s="88"/>
      <c r="P347" s="88"/>
      <c r="Q347" s="62"/>
      <c r="R347" s="62"/>
      <c r="S347" s="63"/>
    </row>
    <row r="348">
      <c r="A348" s="67"/>
      <c r="B348" s="67"/>
      <c r="C348" s="67"/>
      <c r="D348" s="61"/>
      <c r="E348" s="62"/>
      <c r="F348" s="87"/>
      <c r="G348" s="64"/>
      <c r="H348" s="88"/>
      <c r="I348" s="88"/>
      <c r="J348" s="88"/>
      <c r="K348" s="88"/>
      <c r="L348" s="88"/>
      <c r="M348" s="88"/>
      <c r="N348" s="88"/>
      <c r="O348" s="88"/>
      <c r="P348" s="88"/>
      <c r="Q348" s="62"/>
      <c r="R348" s="62"/>
      <c r="S348" s="63"/>
    </row>
    <row r="349">
      <c r="A349" s="67"/>
      <c r="B349" s="67"/>
      <c r="C349" s="67"/>
      <c r="D349" s="61"/>
      <c r="E349" s="62"/>
      <c r="F349" s="87"/>
      <c r="G349" s="64"/>
      <c r="H349" s="88"/>
      <c r="I349" s="88"/>
      <c r="J349" s="88"/>
      <c r="K349" s="88"/>
      <c r="L349" s="88"/>
      <c r="M349" s="88"/>
      <c r="N349" s="88"/>
      <c r="O349" s="88"/>
      <c r="P349" s="88"/>
      <c r="Q349" s="62"/>
      <c r="R349" s="62"/>
      <c r="S349" s="63"/>
    </row>
    <row r="350">
      <c r="A350" s="67"/>
      <c r="B350" s="67"/>
      <c r="C350" s="67"/>
      <c r="D350" s="61"/>
      <c r="E350" s="62"/>
      <c r="F350" s="87"/>
      <c r="G350" s="64"/>
      <c r="H350" s="88"/>
      <c r="I350" s="88"/>
      <c r="J350" s="88"/>
      <c r="K350" s="88"/>
      <c r="L350" s="88"/>
      <c r="M350" s="88"/>
      <c r="N350" s="88"/>
      <c r="O350" s="88"/>
      <c r="P350" s="88"/>
      <c r="Q350" s="62"/>
      <c r="R350" s="62"/>
      <c r="S350" s="63"/>
    </row>
    <row r="351">
      <c r="A351" s="67"/>
      <c r="B351" s="67"/>
      <c r="C351" s="67"/>
      <c r="D351" s="61"/>
      <c r="E351" s="62"/>
      <c r="F351" s="87"/>
      <c r="G351" s="64"/>
      <c r="H351" s="88"/>
      <c r="I351" s="88"/>
      <c r="J351" s="88"/>
      <c r="K351" s="88"/>
      <c r="L351" s="88"/>
      <c r="M351" s="88"/>
      <c r="N351" s="88"/>
      <c r="O351" s="88"/>
      <c r="P351" s="88"/>
      <c r="Q351" s="62"/>
      <c r="R351" s="62"/>
      <c r="S351" s="63"/>
    </row>
    <row r="352">
      <c r="A352" s="67"/>
      <c r="B352" s="67"/>
      <c r="C352" s="67"/>
      <c r="D352" s="61"/>
      <c r="E352" s="62"/>
      <c r="F352" s="87"/>
      <c r="G352" s="64"/>
      <c r="H352" s="88"/>
      <c r="I352" s="88"/>
      <c r="J352" s="88"/>
      <c r="K352" s="88"/>
      <c r="L352" s="88"/>
      <c r="M352" s="88"/>
      <c r="N352" s="88"/>
      <c r="O352" s="88"/>
      <c r="P352" s="88"/>
      <c r="Q352" s="62"/>
      <c r="R352" s="62"/>
      <c r="S352" s="63"/>
    </row>
    <row r="353">
      <c r="A353" s="67"/>
      <c r="B353" s="67"/>
      <c r="C353" s="67"/>
      <c r="D353" s="61"/>
      <c r="E353" s="62"/>
      <c r="F353" s="87"/>
      <c r="G353" s="64"/>
      <c r="H353" s="88"/>
      <c r="I353" s="88"/>
      <c r="J353" s="88"/>
      <c r="K353" s="88"/>
      <c r="L353" s="88"/>
      <c r="M353" s="88"/>
      <c r="N353" s="88"/>
      <c r="O353" s="88"/>
      <c r="P353" s="88"/>
      <c r="Q353" s="62"/>
      <c r="R353" s="62"/>
      <c r="S353" s="63"/>
    </row>
    <row r="354">
      <c r="A354" s="67"/>
      <c r="B354" s="67"/>
      <c r="C354" s="67"/>
      <c r="D354" s="61"/>
      <c r="E354" s="62"/>
      <c r="F354" s="87"/>
      <c r="G354" s="64"/>
      <c r="H354" s="88"/>
      <c r="I354" s="88"/>
      <c r="J354" s="88"/>
      <c r="K354" s="88"/>
      <c r="L354" s="88"/>
      <c r="M354" s="88"/>
      <c r="N354" s="88"/>
      <c r="O354" s="88"/>
      <c r="P354" s="88"/>
      <c r="Q354" s="62"/>
      <c r="R354" s="62"/>
      <c r="S354" s="63"/>
    </row>
    <row r="355">
      <c r="A355" s="67"/>
      <c r="B355" s="67"/>
      <c r="C355" s="67"/>
      <c r="D355" s="61"/>
      <c r="E355" s="62"/>
      <c r="F355" s="87"/>
      <c r="G355" s="64"/>
      <c r="H355" s="88"/>
      <c r="I355" s="88"/>
      <c r="J355" s="88"/>
      <c r="K355" s="88"/>
      <c r="L355" s="88"/>
      <c r="M355" s="88"/>
      <c r="N355" s="88"/>
      <c r="O355" s="88"/>
      <c r="P355" s="88"/>
      <c r="Q355" s="62"/>
      <c r="R355" s="62"/>
      <c r="S355" s="63"/>
    </row>
    <row r="356">
      <c r="A356" s="67"/>
      <c r="B356" s="67"/>
      <c r="C356" s="67"/>
      <c r="D356" s="61"/>
      <c r="E356" s="62"/>
      <c r="F356" s="87"/>
      <c r="G356" s="64"/>
      <c r="H356" s="88"/>
      <c r="I356" s="88"/>
      <c r="J356" s="88"/>
      <c r="K356" s="88"/>
      <c r="L356" s="88"/>
      <c r="M356" s="88"/>
      <c r="N356" s="88"/>
      <c r="O356" s="88"/>
      <c r="P356" s="88"/>
      <c r="Q356" s="62"/>
      <c r="R356" s="62"/>
      <c r="S356" s="63"/>
    </row>
    <row r="357">
      <c r="A357" s="67"/>
      <c r="B357" s="67"/>
      <c r="C357" s="67"/>
      <c r="D357" s="61"/>
      <c r="E357" s="62"/>
      <c r="F357" s="87"/>
      <c r="G357" s="64"/>
      <c r="H357" s="88"/>
      <c r="I357" s="88"/>
      <c r="J357" s="88"/>
      <c r="K357" s="88"/>
      <c r="L357" s="88"/>
      <c r="M357" s="88"/>
      <c r="N357" s="88"/>
      <c r="O357" s="88"/>
      <c r="P357" s="88"/>
      <c r="Q357" s="62"/>
      <c r="R357" s="62"/>
      <c r="S357" s="63"/>
    </row>
    <row r="358">
      <c r="A358" s="67"/>
      <c r="B358" s="67"/>
      <c r="C358" s="67"/>
      <c r="D358" s="61"/>
      <c r="E358" s="62"/>
      <c r="F358" s="87"/>
      <c r="G358" s="64"/>
      <c r="H358" s="88"/>
      <c r="I358" s="88"/>
      <c r="J358" s="88"/>
      <c r="K358" s="88"/>
      <c r="L358" s="88"/>
      <c r="M358" s="88"/>
      <c r="N358" s="88"/>
      <c r="O358" s="88"/>
      <c r="P358" s="88"/>
      <c r="Q358" s="62"/>
      <c r="R358" s="62"/>
      <c r="S358" s="63"/>
    </row>
    <row r="359">
      <c r="A359" s="67"/>
      <c r="B359" s="67"/>
      <c r="C359" s="67"/>
      <c r="D359" s="61"/>
      <c r="E359" s="62"/>
      <c r="F359" s="87"/>
      <c r="G359" s="64"/>
      <c r="H359" s="88"/>
      <c r="I359" s="88"/>
      <c r="J359" s="88"/>
      <c r="K359" s="88"/>
      <c r="L359" s="88"/>
      <c r="M359" s="88"/>
      <c r="N359" s="88"/>
      <c r="O359" s="88"/>
      <c r="P359" s="88"/>
      <c r="Q359" s="62"/>
      <c r="R359" s="62"/>
      <c r="S359" s="63"/>
    </row>
    <row r="360">
      <c r="A360" s="67"/>
      <c r="B360" s="67"/>
      <c r="C360" s="67"/>
      <c r="D360" s="61"/>
      <c r="E360" s="62"/>
      <c r="F360" s="87"/>
      <c r="G360" s="64"/>
      <c r="H360" s="88"/>
      <c r="I360" s="88"/>
      <c r="J360" s="88"/>
      <c r="K360" s="88"/>
      <c r="L360" s="88"/>
      <c r="M360" s="88"/>
      <c r="N360" s="88"/>
      <c r="O360" s="88"/>
      <c r="P360" s="88"/>
      <c r="Q360" s="62"/>
      <c r="R360" s="62"/>
      <c r="S360" s="63"/>
    </row>
    <row r="361">
      <c r="A361" s="67"/>
      <c r="B361" s="67"/>
      <c r="C361" s="67"/>
      <c r="D361" s="61"/>
      <c r="E361" s="62"/>
      <c r="F361" s="87"/>
      <c r="G361" s="64"/>
      <c r="H361" s="88"/>
      <c r="I361" s="88"/>
      <c r="J361" s="88"/>
      <c r="K361" s="88"/>
      <c r="L361" s="88"/>
      <c r="M361" s="88"/>
      <c r="N361" s="88"/>
      <c r="O361" s="88"/>
      <c r="P361" s="88"/>
      <c r="Q361" s="62"/>
      <c r="R361" s="62"/>
      <c r="S361" s="63"/>
    </row>
    <row r="362">
      <c r="A362" s="67"/>
      <c r="B362" s="67"/>
      <c r="C362" s="67"/>
      <c r="D362" s="61"/>
      <c r="E362" s="62"/>
      <c r="F362" s="87"/>
      <c r="G362" s="64"/>
      <c r="H362" s="88"/>
      <c r="I362" s="88"/>
      <c r="J362" s="88"/>
      <c r="K362" s="88"/>
      <c r="L362" s="88"/>
      <c r="M362" s="88"/>
      <c r="N362" s="88"/>
      <c r="O362" s="88"/>
      <c r="P362" s="88"/>
      <c r="Q362" s="62"/>
      <c r="R362" s="62"/>
      <c r="S362" s="63"/>
    </row>
    <row r="363">
      <c r="A363" s="67"/>
      <c r="B363" s="67"/>
      <c r="C363" s="67"/>
      <c r="D363" s="61"/>
      <c r="E363" s="62"/>
      <c r="F363" s="87"/>
      <c r="G363" s="64"/>
      <c r="H363" s="88"/>
      <c r="I363" s="88"/>
      <c r="J363" s="88"/>
      <c r="K363" s="88"/>
      <c r="L363" s="88"/>
      <c r="M363" s="88"/>
      <c r="N363" s="88"/>
      <c r="O363" s="88"/>
      <c r="P363" s="88"/>
      <c r="Q363" s="62"/>
      <c r="R363" s="62"/>
      <c r="S363" s="63"/>
    </row>
    <row r="364">
      <c r="A364" s="67"/>
      <c r="B364" s="67"/>
      <c r="C364" s="67"/>
      <c r="D364" s="61"/>
      <c r="E364" s="62"/>
      <c r="F364" s="87"/>
      <c r="G364" s="64"/>
      <c r="H364" s="88"/>
      <c r="I364" s="88"/>
      <c r="J364" s="88"/>
      <c r="K364" s="88"/>
      <c r="L364" s="88"/>
      <c r="M364" s="88"/>
      <c r="N364" s="88"/>
      <c r="O364" s="88"/>
      <c r="P364" s="88"/>
      <c r="Q364" s="62"/>
      <c r="R364" s="62"/>
      <c r="S364" s="63"/>
    </row>
    <row r="365">
      <c r="A365" s="67"/>
      <c r="B365" s="67"/>
      <c r="C365" s="67"/>
      <c r="D365" s="61"/>
      <c r="E365" s="62"/>
      <c r="F365" s="87"/>
      <c r="G365" s="64"/>
      <c r="H365" s="88"/>
      <c r="I365" s="88"/>
      <c r="J365" s="88"/>
      <c r="K365" s="88"/>
      <c r="L365" s="88"/>
      <c r="M365" s="88"/>
      <c r="N365" s="88"/>
      <c r="O365" s="88"/>
      <c r="P365" s="88"/>
      <c r="Q365" s="62"/>
      <c r="R365" s="62"/>
      <c r="S365" s="63"/>
    </row>
    <row r="366">
      <c r="A366" s="67"/>
      <c r="B366" s="67"/>
      <c r="C366" s="67"/>
      <c r="D366" s="61"/>
      <c r="E366" s="62"/>
      <c r="F366" s="87"/>
      <c r="G366" s="64"/>
      <c r="H366" s="88"/>
      <c r="I366" s="88"/>
      <c r="J366" s="88"/>
      <c r="K366" s="88"/>
      <c r="L366" s="88"/>
      <c r="M366" s="88"/>
      <c r="N366" s="88"/>
      <c r="O366" s="88"/>
      <c r="P366" s="88"/>
      <c r="Q366" s="62"/>
      <c r="R366" s="62"/>
      <c r="S366" s="63"/>
    </row>
    <row r="367">
      <c r="A367" s="67"/>
      <c r="B367" s="67"/>
      <c r="C367" s="67"/>
      <c r="D367" s="61"/>
      <c r="E367" s="62"/>
      <c r="F367" s="87"/>
      <c r="G367" s="64"/>
      <c r="H367" s="88"/>
      <c r="I367" s="88"/>
      <c r="J367" s="88"/>
      <c r="K367" s="88"/>
      <c r="L367" s="88"/>
      <c r="M367" s="88"/>
      <c r="N367" s="88"/>
      <c r="O367" s="88"/>
      <c r="P367" s="88"/>
      <c r="Q367" s="62"/>
      <c r="R367" s="62"/>
      <c r="S367" s="63"/>
    </row>
    <row r="368">
      <c r="A368" s="67"/>
      <c r="B368" s="67"/>
      <c r="C368" s="67"/>
      <c r="D368" s="61"/>
      <c r="E368" s="62"/>
      <c r="F368" s="87"/>
      <c r="G368" s="64"/>
      <c r="H368" s="88"/>
      <c r="I368" s="88"/>
      <c r="J368" s="88"/>
      <c r="K368" s="88"/>
      <c r="L368" s="88"/>
      <c r="M368" s="88"/>
      <c r="N368" s="88"/>
      <c r="O368" s="88"/>
      <c r="P368" s="88"/>
      <c r="Q368" s="62"/>
      <c r="R368" s="62"/>
      <c r="S368" s="63"/>
    </row>
    <row r="369">
      <c r="A369" s="67"/>
      <c r="B369" s="67"/>
      <c r="C369" s="67"/>
      <c r="D369" s="61"/>
      <c r="E369" s="62"/>
      <c r="F369" s="87"/>
      <c r="G369" s="64"/>
      <c r="H369" s="88"/>
      <c r="I369" s="88"/>
      <c r="J369" s="88"/>
      <c r="K369" s="88"/>
      <c r="L369" s="88"/>
      <c r="M369" s="88"/>
      <c r="N369" s="88"/>
      <c r="O369" s="88"/>
      <c r="P369" s="88"/>
      <c r="Q369" s="62"/>
      <c r="R369" s="62"/>
      <c r="S369" s="63"/>
    </row>
    <row r="370">
      <c r="A370" s="67"/>
      <c r="B370" s="67"/>
      <c r="C370" s="67"/>
      <c r="D370" s="61"/>
      <c r="E370" s="62"/>
      <c r="F370" s="87"/>
      <c r="G370" s="64"/>
      <c r="H370" s="88"/>
      <c r="I370" s="88"/>
      <c r="J370" s="88"/>
      <c r="K370" s="88"/>
      <c r="L370" s="88"/>
      <c r="M370" s="88"/>
      <c r="N370" s="88"/>
      <c r="O370" s="88"/>
      <c r="P370" s="88"/>
      <c r="Q370" s="62"/>
      <c r="R370" s="62"/>
      <c r="S370" s="63"/>
    </row>
    <row r="371">
      <c r="A371" s="67"/>
      <c r="B371" s="67"/>
      <c r="C371" s="67"/>
      <c r="D371" s="61"/>
      <c r="E371" s="62"/>
      <c r="F371" s="87"/>
      <c r="G371" s="64"/>
      <c r="H371" s="88"/>
      <c r="I371" s="88"/>
      <c r="J371" s="88"/>
      <c r="K371" s="88"/>
      <c r="L371" s="88"/>
      <c r="M371" s="88"/>
      <c r="N371" s="88"/>
      <c r="O371" s="88"/>
      <c r="P371" s="88"/>
      <c r="Q371" s="62"/>
      <c r="R371" s="62"/>
      <c r="S371" s="63"/>
    </row>
    <row r="372">
      <c r="A372" s="67"/>
      <c r="B372" s="67"/>
      <c r="C372" s="67"/>
      <c r="D372" s="61"/>
      <c r="E372" s="62"/>
      <c r="F372" s="87"/>
      <c r="G372" s="64"/>
      <c r="H372" s="88"/>
      <c r="I372" s="88"/>
      <c r="J372" s="88"/>
      <c r="K372" s="88"/>
      <c r="L372" s="88"/>
      <c r="M372" s="88"/>
      <c r="N372" s="88"/>
      <c r="O372" s="88"/>
      <c r="P372" s="88"/>
      <c r="Q372" s="62"/>
      <c r="R372" s="62"/>
      <c r="S372" s="63"/>
    </row>
    <row r="373">
      <c r="A373" s="67"/>
      <c r="B373" s="67"/>
      <c r="C373" s="67"/>
      <c r="D373" s="61"/>
      <c r="E373" s="62"/>
      <c r="F373" s="87"/>
      <c r="G373" s="64"/>
      <c r="H373" s="88"/>
      <c r="I373" s="88"/>
      <c r="J373" s="88"/>
      <c r="K373" s="88"/>
      <c r="L373" s="88"/>
      <c r="M373" s="88"/>
      <c r="N373" s="88"/>
      <c r="O373" s="88"/>
      <c r="P373" s="88"/>
      <c r="Q373" s="62"/>
      <c r="R373" s="62"/>
      <c r="S373" s="63"/>
    </row>
    <row r="374">
      <c r="A374" s="67"/>
      <c r="B374" s="67"/>
      <c r="C374" s="67"/>
      <c r="D374" s="61"/>
      <c r="E374" s="62"/>
      <c r="F374" s="87"/>
      <c r="G374" s="64"/>
      <c r="H374" s="88"/>
      <c r="I374" s="88"/>
      <c r="J374" s="88"/>
      <c r="K374" s="88"/>
      <c r="L374" s="88"/>
      <c r="M374" s="88"/>
      <c r="N374" s="88"/>
      <c r="O374" s="88"/>
      <c r="P374" s="88"/>
      <c r="Q374" s="62"/>
      <c r="R374" s="62"/>
      <c r="S374" s="63"/>
    </row>
    <row r="375">
      <c r="A375" s="67"/>
      <c r="B375" s="67"/>
      <c r="C375" s="67"/>
      <c r="D375" s="61"/>
      <c r="E375" s="62"/>
      <c r="F375" s="87"/>
      <c r="G375" s="64"/>
      <c r="H375" s="88"/>
      <c r="I375" s="88"/>
      <c r="J375" s="88"/>
      <c r="K375" s="88"/>
      <c r="L375" s="88"/>
      <c r="M375" s="88"/>
      <c r="N375" s="88"/>
      <c r="O375" s="88"/>
      <c r="P375" s="88"/>
      <c r="Q375" s="62"/>
      <c r="R375" s="62"/>
      <c r="S375" s="63"/>
    </row>
    <row r="376">
      <c r="A376" s="67"/>
      <c r="B376" s="67"/>
      <c r="C376" s="67"/>
      <c r="D376" s="61"/>
      <c r="E376" s="62"/>
      <c r="F376" s="87"/>
      <c r="G376" s="64"/>
      <c r="H376" s="88"/>
      <c r="I376" s="88"/>
      <c r="J376" s="88"/>
      <c r="K376" s="88"/>
      <c r="L376" s="88"/>
      <c r="M376" s="88"/>
      <c r="N376" s="88"/>
      <c r="O376" s="88"/>
      <c r="P376" s="88"/>
      <c r="Q376" s="62"/>
      <c r="R376" s="62"/>
      <c r="S376" s="63"/>
    </row>
    <row r="377">
      <c r="A377" s="67"/>
      <c r="B377" s="67"/>
      <c r="C377" s="67"/>
      <c r="D377" s="61"/>
      <c r="E377" s="62"/>
      <c r="F377" s="87"/>
      <c r="G377" s="64"/>
      <c r="H377" s="88"/>
      <c r="I377" s="88"/>
      <c r="J377" s="88"/>
      <c r="K377" s="88"/>
      <c r="L377" s="88"/>
      <c r="M377" s="88"/>
      <c r="N377" s="88"/>
      <c r="O377" s="88"/>
      <c r="P377" s="88"/>
      <c r="Q377" s="62"/>
      <c r="R377" s="62"/>
      <c r="S377" s="63"/>
    </row>
    <row r="378">
      <c r="A378" s="67"/>
      <c r="B378" s="67"/>
      <c r="C378" s="67"/>
      <c r="D378" s="61"/>
      <c r="E378" s="62"/>
      <c r="F378" s="87"/>
      <c r="G378" s="64"/>
      <c r="H378" s="88"/>
      <c r="I378" s="88"/>
      <c r="J378" s="88"/>
      <c r="K378" s="88"/>
      <c r="L378" s="88"/>
      <c r="M378" s="88"/>
      <c r="N378" s="88"/>
      <c r="O378" s="88"/>
      <c r="P378" s="88"/>
      <c r="Q378" s="62"/>
      <c r="R378" s="62"/>
      <c r="S378" s="63"/>
    </row>
    <row r="379">
      <c r="A379" s="67"/>
      <c r="B379" s="67"/>
      <c r="C379" s="67"/>
      <c r="D379" s="61"/>
      <c r="E379" s="62"/>
      <c r="F379" s="87"/>
      <c r="G379" s="64"/>
      <c r="H379" s="88"/>
      <c r="I379" s="88"/>
      <c r="J379" s="88"/>
      <c r="K379" s="88"/>
      <c r="L379" s="88"/>
      <c r="M379" s="88"/>
      <c r="N379" s="88"/>
      <c r="O379" s="88"/>
      <c r="P379" s="88"/>
      <c r="Q379" s="62"/>
      <c r="R379" s="62"/>
      <c r="S379" s="63"/>
    </row>
    <row r="380">
      <c r="A380" s="67"/>
      <c r="B380" s="67"/>
      <c r="C380" s="67"/>
      <c r="D380" s="61"/>
      <c r="E380" s="62"/>
      <c r="F380" s="87"/>
      <c r="G380" s="64"/>
      <c r="H380" s="88"/>
      <c r="I380" s="88"/>
      <c r="J380" s="88"/>
      <c r="K380" s="88"/>
      <c r="L380" s="88"/>
      <c r="M380" s="88"/>
      <c r="N380" s="88"/>
      <c r="O380" s="88"/>
      <c r="P380" s="88"/>
      <c r="Q380" s="62"/>
      <c r="R380" s="62"/>
      <c r="S380" s="63"/>
    </row>
    <row r="381">
      <c r="A381" s="67"/>
      <c r="B381" s="67"/>
      <c r="C381" s="67"/>
      <c r="D381" s="61"/>
      <c r="E381" s="62"/>
      <c r="F381" s="87"/>
      <c r="G381" s="64"/>
      <c r="H381" s="88"/>
      <c r="I381" s="88"/>
      <c r="J381" s="88"/>
      <c r="K381" s="88"/>
      <c r="L381" s="88"/>
      <c r="M381" s="88"/>
      <c r="N381" s="88"/>
      <c r="O381" s="88"/>
      <c r="P381" s="88"/>
      <c r="Q381" s="62"/>
      <c r="R381" s="62"/>
      <c r="S381" s="63"/>
    </row>
    <row r="382">
      <c r="A382" s="67"/>
      <c r="B382" s="67"/>
      <c r="C382" s="67"/>
      <c r="D382" s="61"/>
      <c r="E382" s="62"/>
      <c r="F382" s="87"/>
      <c r="G382" s="64"/>
      <c r="H382" s="88"/>
      <c r="I382" s="88"/>
      <c r="J382" s="88"/>
      <c r="K382" s="88"/>
      <c r="L382" s="88"/>
      <c r="M382" s="88"/>
      <c r="N382" s="88"/>
      <c r="O382" s="88"/>
      <c r="P382" s="88"/>
      <c r="Q382" s="62"/>
      <c r="R382" s="62"/>
      <c r="S382" s="63"/>
    </row>
    <row r="383">
      <c r="A383" s="67"/>
      <c r="B383" s="67"/>
      <c r="C383" s="67"/>
      <c r="D383" s="61"/>
      <c r="E383" s="62"/>
      <c r="F383" s="87"/>
      <c r="G383" s="64"/>
      <c r="H383" s="88"/>
      <c r="I383" s="88"/>
      <c r="J383" s="88"/>
      <c r="K383" s="88"/>
      <c r="L383" s="88"/>
      <c r="M383" s="88"/>
      <c r="N383" s="88"/>
      <c r="O383" s="88"/>
      <c r="P383" s="88"/>
      <c r="Q383" s="62"/>
      <c r="R383" s="62"/>
      <c r="S383" s="63"/>
    </row>
    <row r="384">
      <c r="A384" s="67"/>
      <c r="B384" s="67"/>
      <c r="C384" s="67"/>
      <c r="D384" s="61"/>
      <c r="E384" s="62"/>
      <c r="F384" s="87"/>
      <c r="G384" s="64"/>
      <c r="H384" s="88"/>
      <c r="I384" s="88"/>
      <c r="J384" s="88"/>
      <c r="K384" s="88"/>
      <c r="L384" s="88"/>
      <c r="M384" s="88"/>
      <c r="N384" s="88"/>
      <c r="O384" s="88"/>
      <c r="P384" s="88"/>
      <c r="Q384" s="62"/>
      <c r="R384" s="62"/>
      <c r="S384" s="63"/>
    </row>
    <row r="385">
      <c r="A385" s="67"/>
      <c r="B385" s="67"/>
      <c r="C385" s="67"/>
      <c r="D385" s="61"/>
      <c r="E385" s="62"/>
      <c r="F385" s="87"/>
      <c r="G385" s="64"/>
      <c r="H385" s="88"/>
      <c r="I385" s="88"/>
      <c r="J385" s="88"/>
      <c r="K385" s="88"/>
      <c r="L385" s="88"/>
      <c r="M385" s="88"/>
      <c r="N385" s="88"/>
      <c r="O385" s="88"/>
      <c r="P385" s="88"/>
      <c r="Q385" s="62"/>
      <c r="R385" s="62"/>
      <c r="S385" s="63"/>
    </row>
    <row r="386">
      <c r="A386" s="67"/>
      <c r="B386" s="67"/>
      <c r="C386" s="67"/>
      <c r="D386" s="61"/>
      <c r="E386" s="62"/>
      <c r="F386" s="87"/>
      <c r="G386" s="64"/>
      <c r="H386" s="88"/>
      <c r="I386" s="88"/>
      <c r="J386" s="88"/>
      <c r="K386" s="88"/>
      <c r="L386" s="88"/>
      <c r="M386" s="88"/>
      <c r="N386" s="88"/>
      <c r="O386" s="88"/>
      <c r="P386" s="88"/>
      <c r="Q386" s="62"/>
      <c r="R386" s="62"/>
      <c r="S386" s="63"/>
    </row>
    <row r="387">
      <c r="A387" s="67"/>
      <c r="B387" s="67"/>
      <c r="C387" s="67"/>
      <c r="D387" s="61"/>
      <c r="E387" s="62"/>
      <c r="F387" s="87"/>
      <c r="G387" s="64"/>
      <c r="H387" s="88"/>
      <c r="I387" s="88"/>
      <c r="J387" s="88"/>
      <c r="K387" s="88"/>
      <c r="L387" s="88"/>
      <c r="M387" s="88"/>
      <c r="N387" s="88"/>
      <c r="O387" s="88"/>
      <c r="P387" s="88"/>
      <c r="Q387" s="62"/>
      <c r="R387" s="62"/>
      <c r="S387" s="63"/>
    </row>
    <row r="388">
      <c r="A388" s="67"/>
      <c r="B388" s="67"/>
      <c r="C388" s="67"/>
      <c r="D388" s="61"/>
      <c r="E388" s="62"/>
      <c r="F388" s="87"/>
      <c r="G388" s="64"/>
      <c r="H388" s="88"/>
      <c r="I388" s="88"/>
      <c r="J388" s="88"/>
      <c r="K388" s="88"/>
      <c r="L388" s="88"/>
      <c r="M388" s="88"/>
      <c r="N388" s="88"/>
      <c r="O388" s="88"/>
      <c r="P388" s="88"/>
      <c r="Q388" s="62"/>
      <c r="R388" s="62"/>
      <c r="S388" s="63"/>
    </row>
    <row r="389">
      <c r="A389" s="67"/>
      <c r="B389" s="67"/>
      <c r="C389" s="67"/>
      <c r="D389" s="61"/>
      <c r="E389" s="62"/>
      <c r="F389" s="87"/>
      <c r="G389" s="64"/>
      <c r="H389" s="88"/>
      <c r="I389" s="88"/>
      <c r="J389" s="88"/>
      <c r="K389" s="88"/>
      <c r="L389" s="88"/>
      <c r="M389" s="88"/>
      <c r="N389" s="88"/>
      <c r="O389" s="88"/>
      <c r="P389" s="88"/>
      <c r="Q389" s="62"/>
      <c r="R389" s="62"/>
      <c r="S389" s="63"/>
    </row>
    <row r="390">
      <c r="A390" s="67"/>
      <c r="B390" s="67"/>
      <c r="C390" s="67"/>
      <c r="D390" s="61"/>
      <c r="E390" s="62"/>
      <c r="F390" s="87"/>
      <c r="G390" s="64"/>
      <c r="H390" s="88"/>
      <c r="I390" s="88"/>
      <c r="J390" s="88"/>
      <c r="K390" s="88"/>
      <c r="L390" s="88"/>
      <c r="M390" s="88"/>
      <c r="N390" s="88"/>
      <c r="O390" s="88"/>
      <c r="P390" s="88"/>
      <c r="Q390" s="62"/>
      <c r="R390" s="62"/>
      <c r="S390" s="63"/>
    </row>
    <row r="391">
      <c r="A391" s="67"/>
      <c r="B391" s="67"/>
      <c r="C391" s="67"/>
      <c r="D391" s="61"/>
      <c r="E391" s="62"/>
      <c r="F391" s="87"/>
      <c r="G391" s="64"/>
      <c r="H391" s="88"/>
      <c r="I391" s="88"/>
      <c r="J391" s="88"/>
      <c r="K391" s="88"/>
      <c r="L391" s="88"/>
      <c r="M391" s="88"/>
      <c r="N391" s="88"/>
      <c r="O391" s="88"/>
      <c r="P391" s="88"/>
      <c r="Q391" s="62"/>
      <c r="R391" s="62"/>
      <c r="S391" s="63"/>
    </row>
    <row r="392">
      <c r="A392" s="67"/>
      <c r="B392" s="67"/>
      <c r="C392" s="67"/>
      <c r="D392" s="61"/>
      <c r="E392" s="62"/>
      <c r="F392" s="87"/>
      <c r="G392" s="64"/>
      <c r="H392" s="88"/>
      <c r="I392" s="88"/>
      <c r="J392" s="88"/>
      <c r="K392" s="88"/>
      <c r="L392" s="88"/>
      <c r="M392" s="88"/>
      <c r="N392" s="88"/>
      <c r="O392" s="88"/>
      <c r="P392" s="88"/>
      <c r="Q392" s="62"/>
      <c r="R392" s="62"/>
      <c r="S392" s="63"/>
    </row>
    <row r="393">
      <c r="A393" s="67"/>
      <c r="B393" s="67"/>
      <c r="C393" s="67"/>
      <c r="D393" s="61"/>
      <c r="E393" s="62"/>
      <c r="F393" s="87"/>
      <c r="G393" s="64"/>
      <c r="H393" s="88"/>
      <c r="I393" s="88"/>
      <c r="J393" s="88"/>
      <c r="K393" s="88"/>
      <c r="L393" s="88"/>
      <c r="M393" s="88"/>
      <c r="N393" s="88"/>
      <c r="O393" s="88"/>
      <c r="P393" s="88"/>
      <c r="Q393" s="62"/>
      <c r="R393" s="62"/>
      <c r="S393" s="63"/>
    </row>
    <row r="394">
      <c r="A394" s="67"/>
      <c r="B394" s="67"/>
      <c r="C394" s="67"/>
      <c r="D394" s="61"/>
      <c r="E394" s="62"/>
      <c r="F394" s="87"/>
      <c r="G394" s="64"/>
      <c r="H394" s="88"/>
      <c r="I394" s="88"/>
      <c r="J394" s="88"/>
      <c r="K394" s="88"/>
      <c r="L394" s="88"/>
      <c r="M394" s="88"/>
      <c r="N394" s="88"/>
      <c r="O394" s="88"/>
      <c r="P394" s="88"/>
      <c r="Q394" s="62"/>
      <c r="R394" s="62"/>
      <c r="S394" s="63"/>
    </row>
    <row r="395">
      <c r="A395" s="67"/>
      <c r="B395" s="67"/>
      <c r="C395" s="67"/>
      <c r="D395" s="61"/>
      <c r="E395" s="62"/>
      <c r="F395" s="87"/>
      <c r="G395" s="64"/>
      <c r="H395" s="88"/>
      <c r="I395" s="88"/>
      <c r="J395" s="88"/>
      <c r="K395" s="88"/>
      <c r="L395" s="88"/>
      <c r="M395" s="88"/>
      <c r="N395" s="88"/>
      <c r="O395" s="88"/>
      <c r="P395" s="88"/>
      <c r="Q395" s="62"/>
      <c r="R395" s="62"/>
      <c r="S395" s="63"/>
    </row>
    <row r="396">
      <c r="A396" s="67"/>
      <c r="B396" s="67"/>
      <c r="C396" s="67"/>
      <c r="D396" s="61"/>
      <c r="E396" s="62"/>
      <c r="F396" s="87"/>
      <c r="G396" s="64"/>
      <c r="H396" s="88"/>
      <c r="I396" s="88"/>
      <c r="J396" s="88"/>
      <c r="K396" s="88"/>
      <c r="L396" s="88"/>
      <c r="M396" s="88"/>
      <c r="N396" s="88"/>
      <c r="O396" s="88"/>
      <c r="P396" s="88"/>
      <c r="Q396" s="62"/>
      <c r="R396" s="62"/>
      <c r="S396" s="63"/>
    </row>
    <row r="397">
      <c r="A397" s="67"/>
      <c r="B397" s="67"/>
      <c r="C397" s="67"/>
      <c r="D397" s="61"/>
      <c r="E397" s="62"/>
      <c r="F397" s="87"/>
      <c r="G397" s="64"/>
      <c r="H397" s="88"/>
      <c r="I397" s="88"/>
      <c r="J397" s="88"/>
      <c r="K397" s="88"/>
      <c r="L397" s="88"/>
      <c r="M397" s="88"/>
      <c r="N397" s="88"/>
      <c r="O397" s="88"/>
      <c r="P397" s="88"/>
      <c r="Q397" s="62"/>
      <c r="R397" s="62"/>
      <c r="S397" s="63"/>
    </row>
    <row r="398">
      <c r="A398" s="67"/>
      <c r="B398" s="67"/>
      <c r="C398" s="67"/>
      <c r="D398" s="61"/>
      <c r="E398" s="62"/>
      <c r="F398" s="87"/>
      <c r="G398" s="64"/>
      <c r="H398" s="88"/>
      <c r="I398" s="88"/>
      <c r="J398" s="88"/>
      <c r="K398" s="88"/>
      <c r="L398" s="88"/>
      <c r="M398" s="88"/>
      <c r="N398" s="88"/>
      <c r="O398" s="88"/>
      <c r="P398" s="88"/>
      <c r="Q398" s="62"/>
      <c r="R398" s="62"/>
      <c r="S398" s="63"/>
    </row>
    <row r="399">
      <c r="A399" s="67"/>
      <c r="B399" s="67"/>
      <c r="C399" s="67"/>
      <c r="D399" s="61"/>
      <c r="E399" s="62"/>
      <c r="F399" s="87"/>
      <c r="G399" s="64"/>
      <c r="H399" s="88"/>
      <c r="I399" s="88"/>
      <c r="J399" s="88"/>
      <c r="K399" s="88"/>
      <c r="L399" s="88"/>
      <c r="M399" s="88"/>
      <c r="N399" s="88"/>
      <c r="O399" s="88"/>
      <c r="P399" s="88"/>
      <c r="Q399" s="62"/>
      <c r="R399" s="62"/>
      <c r="S399" s="63"/>
    </row>
    <row r="400">
      <c r="A400" s="67"/>
      <c r="B400" s="67"/>
      <c r="C400" s="67"/>
      <c r="D400" s="61"/>
      <c r="E400" s="62"/>
      <c r="F400" s="87"/>
      <c r="G400" s="64"/>
      <c r="H400" s="88"/>
      <c r="I400" s="88"/>
      <c r="J400" s="88"/>
      <c r="K400" s="88"/>
      <c r="L400" s="88"/>
      <c r="M400" s="88"/>
      <c r="N400" s="88"/>
      <c r="O400" s="88"/>
      <c r="P400" s="88"/>
      <c r="Q400" s="62"/>
      <c r="R400" s="62"/>
      <c r="S400" s="63"/>
    </row>
    <row r="401">
      <c r="A401" s="67"/>
      <c r="B401" s="67"/>
      <c r="C401" s="67"/>
      <c r="D401" s="61"/>
      <c r="E401" s="62"/>
      <c r="F401" s="87"/>
      <c r="G401" s="64"/>
      <c r="H401" s="88"/>
      <c r="I401" s="88"/>
      <c r="J401" s="88"/>
      <c r="K401" s="88"/>
      <c r="L401" s="88"/>
      <c r="M401" s="88"/>
      <c r="N401" s="88"/>
      <c r="O401" s="88"/>
      <c r="P401" s="88"/>
      <c r="Q401" s="62"/>
      <c r="R401" s="62"/>
      <c r="S401" s="63"/>
    </row>
    <row r="402">
      <c r="A402" s="67"/>
      <c r="B402" s="67"/>
      <c r="C402" s="67"/>
      <c r="D402" s="61"/>
      <c r="E402" s="62"/>
      <c r="F402" s="87"/>
      <c r="G402" s="64"/>
      <c r="H402" s="88"/>
      <c r="I402" s="88"/>
      <c r="J402" s="88"/>
      <c r="K402" s="88"/>
      <c r="L402" s="88"/>
      <c r="M402" s="88"/>
      <c r="N402" s="88"/>
      <c r="O402" s="88"/>
      <c r="P402" s="88"/>
      <c r="Q402" s="62"/>
      <c r="R402" s="62"/>
      <c r="S402" s="63"/>
    </row>
    <row r="403">
      <c r="A403" s="90"/>
      <c r="B403" s="90"/>
      <c r="C403" s="67"/>
      <c r="D403" s="61"/>
      <c r="E403" s="62"/>
      <c r="F403" s="87"/>
      <c r="G403" s="64"/>
      <c r="H403" s="88"/>
      <c r="I403" s="88"/>
      <c r="J403" s="88"/>
      <c r="K403" s="88"/>
      <c r="L403" s="88"/>
      <c r="M403" s="88"/>
      <c r="N403" s="88"/>
      <c r="O403" s="88"/>
      <c r="P403" s="88"/>
      <c r="Q403" s="62"/>
      <c r="R403" s="62"/>
      <c r="S403" s="63"/>
    </row>
    <row r="404">
      <c r="A404" s="90"/>
      <c r="B404" s="90"/>
      <c r="C404" s="67"/>
      <c r="D404" s="61"/>
      <c r="E404" s="62"/>
      <c r="F404" s="87"/>
      <c r="G404" s="64"/>
      <c r="H404" s="88"/>
      <c r="I404" s="88"/>
      <c r="J404" s="88"/>
      <c r="K404" s="88"/>
      <c r="L404" s="88"/>
      <c r="M404" s="88"/>
      <c r="N404" s="88"/>
      <c r="O404" s="88"/>
      <c r="P404" s="88"/>
      <c r="Q404" s="62"/>
      <c r="R404" s="62"/>
      <c r="S404" s="63"/>
    </row>
    <row r="405">
      <c r="A405" s="90"/>
      <c r="B405" s="90"/>
      <c r="C405" s="67"/>
      <c r="D405" s="61"/>
      <c r="E405" s="62"/>
      <c r="F405" s="87"/>
      <c r="G405" s="64"/>
      <c r="H405" s="88"/>
      <c r="I405" s="88"/>
      <c r="J405" s="88"/>
      <c r="K405" s="88"/>
      <c r="L405" s="88"/>
      <c r="M405" s="88"/>
      <c r="N405" s="88"/>
      <c r="O405" s="88"/>
      <c r="P405" s="88"/>
      <c r="Q405" s="62"/>
      <c r="R405" s="62"/>
      <c r="S405" s="63"/>
    </row>
    <row r="406">
      <c r="A406" s="90"/>
      <c r="B406" s="90"/>
      <c r="C406" s="67"/>
      <c r="D406" s="61"/>
      <c r="E406" s="62"/>
      <c r="F406" s="87"/>
      <c r="G406" s="64"/>
      <c r="H406" s="88"/>
      <c r="I406" s="88"/>
      <c r="J406" s="88"/>
      <c r="K406" s="88"/>
      <c r="L406" s="88"/>
      <c r="M406" s="88"/>
      <c r="N406" s="88"/>
      <c r="O406" s="88"/>
      <c r="P406" s="88"/>
      <c r="Q406" s="62"/>
      <c r="R406" s="62"/>
      <c r="S406" s="63"/>
    </row>
    <row r="407">
      <c r="A407" s="90"/>
      <c r="B407" s="90"/>
      <c r="C407" s="67"/>
      <c r="D407" s="61"/>
      <c r="E407" s="62"/>
      <c r="F407" s="87"/>
      <c r="G407" s="64"/>
      <c r="H407" s="88"/>
      <c r="I407" s="88"/>
      <c r="J407" s="88"/>
      <c r="K407" s="88"/>
      <c r="L407" s="88"/>
      <c r="M407" s="88"/>
      <c r="N407" s="88"/>
      <c r="O407" s="88"/>
      <c r="P407" s="88"/>
      <c r="Q407" s="62"/>
      <c r="R407" s="62"/>
      <c r="S407" s="63"/>
    </row>
    <row r="408">
      <c r="A408" s="90"/>
      <c r="B408" s="90"/>
      <c r="C408" s="67"/>
      <c r="D408" s="61"/>
      <c r="E408" s="62"/>
      <c r="F408" s="87"/>
      <c r="G408" s="64"/>
      <c r="H408" s="88"/>
      <c r="I408" s="88"/>
      <c r="J408" s="88"/>
      <c r="K408" s="88"/>
      <c r="L408" s="88"/>
      <c r="M408" s="88"/>
      <c r="N408" s="88"/>
      <c r="O408" s="88"/>
      <c r="P408" s="88"/>
      <c r="Q408" s="62"/>
      <c r="R408" s="62"/>
      <c r="S408" s="63"/>
    </row>
    <row r="409">
      <c r="A409" s="90"/>
      <c r="B409" s="90"/>
      <c r="C409" s="67"/>
      <c r="D409" s="61"/>
      <c r="E409" s="62"/>
      <c r="F409" s="87"/>
      <c r="G409" s="64"/>
      <c r="H409" s="88"/>
      <c r="I409" s="88"/>
      <c r="J409" s="88"/>
      <c r="K409" s="88"/>
      <c r="L409" s="88"/>
      <c r="M409" s="88"/>
      <c r="N409" s="88"/>
      <c r="O409" s="88"/>
      <c r="P409" s="88"/>
      <c r="Q409" s="62"/>
      <c r="R409" s="62"/>
      <c r="S409" s="63"/>
    </row>
    <row r="410">
      <c r="A410" s="90"/>
      <c r="B410" s="90"/>
      <c r="C410" s="67"/>
      <c r="D410" s="61"/>
      <c r="E410" s="62"/>
      <c r="F410" s="87"/>
      <c r="G410" s="64"/>
      <c r="H410" s="88"/>
      <c r="I410" s="88"/>
      <c r="J410" s="88"/>
      <c r="K410" s="88"/>
      <c r="L410" s="88"/>
      <c r="M410" s="88"/>
      <c r="N410" s="88"/>
      <c r="O410" s="88"/>
      <c r="P410" s="88"/>
      <c r="Q410" s="62"/>
      <c r="R410" s="62"/>
      <c r="S410" s="63"/>
    </row>
    <row r="411">
      <c r="A411" s="90"/>
      <c r="B411" s="90"/>
      <c r="C411" s="67"/>
      <c r="D411" s="61"/>
      <c r="E411" s="62"/>
      <c r="F411" s="87"/>
      <c r="G411" s="64"/>
      <c r="H411" s="88"/>
      <c r="I411" s="88"/>
      <c r="J411" s="88"/>
      <c r="K411" s="88"/>
      <c r="L411" s="88"/>
      <c r="M411" s="88"/>
      <c r="N411" s="88"/>
      <c r="O411" s="88"/>
      <c r="P411" s="88"/>
      <c r="Q411" s="62"/>
      <c r="R411" s="62"/>
      <c r="S411" s="63"/>
    </row>
    <row r="412">
      <c r="A412" s="90"/>
      <c r="B412" s="90"/>
      <c r="C412" s="67"/>
      <c r="D412" s="61"/>
      <c r="E412" s="62"/>
      <c r="F412" s="87"/>
      <c r="G412" s="64"/>
      <c r="H412" s="88"/>
      <c r="I412" s="88"/>
      <c r="J412" s="88"/>
      <c r="K412" s="88"/>
      <c r="L412" s="88"/>
      <c r="M412" s="88"/>
      <c r="N412" s="88"/>
      <c r="O412" s="88"/>
      <c r="P412" s="88"/>
      <c r="Q412" s="62"/>
      <c r="R412" s="62"/>
      <c r="S412" s="63"/>
    </row>
    <row r="413">
      <c r="A413" s="90"/>
      <c r="B413" s="90"/>
      <c r="C413" s="67"/>
      <c r="D413" s="61"/>
      <c r="E413" s="62"/>
      <c r="F413" s="87"/>
      <c r="G413" s="64"/>
      <c r="H413" s="88"/>
      <c r="I413" s="88"/>
      <c r="J413" s="88"/>
      <c r="K413" s="88"/>
      <c r="L413" s="88"/>
      <c r="M413" s="88"/>
      <c r="N413" s="88"/>
      <c r="O413" s="88"/>
      <c r="P413" s="88"/>
      <c r="Q413" s="62"/>
      <c r="R413" s="62"/>
      <c r="S413" s="63"/>
    </row>
    <row r="414">
      <c r="A414" s="90"/>
      <c r="B414" s="90"/>
      <c r="C414" s="67"/>
      <c r="D414" s="61"/>
      <c r="E414" s="62"/>
      <c r="F414" s="87"/>
      <c r="G414" s="64"/>
      <c r="H414" s="88"/>
      <c r="I414" s="88"/>
      <c r="J414" s="88"/>
      <c r="K414" s="88"/>
      <c r="L414" s="88"/>
      <c r="M414" s="88"/>
      <c r="N414" s="88"/>
      <c r="O414" s="88"/>
      <c r="P414" s="88"/>
      <c r="Q414" s="62"/>
      <c r="R414" s="62"/>
      <c r="S414" s="63"/>
    </row>
    <row r="415">
      <c r="A415" s="90"/>
      <c r="B415" s="90"/>
      <c r="C415" s="67"/>
      <c r="D415" s="61"/>
      <c r="E415" s="62"/>
      <c r="F415" s="87"/>
      <c r="G415" s="64"/>
      <c r="H415" s="88"/>
      <c r="I415" s="88"/>
      <c r="J415" s="88"/>
      <c r="K415" s="88"/>
      <c r="L415" s="88"/>
      <c r="M415" s="88"/>
      <c r="N415" s="88"/>
      <c r="O415" s="88"/>
      <c r="P415" s="88"/>
      <c r="Q415" s="62"/>
      <c r="R415" s="62"/>
      <c r="S415" s="63"/>
    </row>
    <row r="416">
      <c r="A416" s="90"/>
      <c r="B416" s="90"/>
      <c r="C416" s="67"/>
      <c r="D416" s="61"/>
      <c r="E416" s="62"/>
      <c r="F416" s="87"/>
      <c r="G416" s="64"/>
      <c r="H416" s="88"/>
      <c r="I416" s="88"/>
      <c r="J416" s="88"/>
      <c r="K416" s="88"/>
      <c r="L416" s="88"/>
      <c r="M416" s="88"/>
      <c r="N416" s="88"/>
      <c r="O416" s="88"/>
      <c r="P416" s="88"/>
      <c r="Q416" s="62"/>
      <c r="R416" s="62"/>
      <c r="S416" s="63"/>
    </row>
    <row r="417">
      <c r="A417" s="90"/>
      <c r="B417" s="90"/>
      <c r="C417" s="67"/>
      <c r="D417" s="61"/>
      <c r="E417" s="62"/>
      <c r="F417" s="87"/>
      <c r="G417" s="64"/>
      <c r="H417" s="88"/>
      <c r="I417" s="88"/>
      <c r="J417" s="88"/>
      <c r="K417" s="88"/>
      <c r="L417" s="88"/>
      <c r="M417" s="88"/>
      <c r="N417" s="88"/>
      <c r="O417" s="88"/>
      <c r="P417" s="88"/>
      <c r="Q417" s="62"/>
      <c r="R417" s="62"/>
      <c r="S417" s="63"/>
    </row>
    <row r="418">
      <c r="A418" s="90"/>
      <c r="B418" s="90"/>
      <c r="C418" s="67"/>
      <c r="D418" s="61"/>
      <c r="E418" s="62"/>
      <c r="F418" s="87"/>
      <c r="G418" s="64"/>
      <c r="H418" s="88"/>
      <c r="I418" s="88"/>
      <c r="J418" s="88"/>
      <c r="K418" s="88"/>
      <c r="L418" s="88"/>
      <c r="M418" s="88"/>
      <c r="N418" s="88"/>
      <c r="O418" s="88"/>
      <c r="P418" s="88"/>
      <c r="Q418" s="62"/>
      <c r="R418" s="62"/>
      <c r="S418" s="63"/>
    </row>
    <row r="419">
      <c r="A419" s="90"/>
      <c r="B419" s="90"/>
      <c r="C419" s="67"/>
      <c r="D419" s="61"/>
      <c r="E419" s="62"/>
      <c r="F419" s="87"/>
      <c r="G419" s="64"/>
      <c r="H419" s="88"/>
      <c r="I419" s="88"/>
      <c r="J419" s="88"/>
      <c r="K419" s="88"/>
      <c r="L419" s="88"/>
      <c r="M419" s="88"/>
      <c r="N419" s="88"/>
      <c r="O419" s="88"/>
      <c r="P419" s="88"/>
      <c r="Q419" s="62"/>
      <c r="R419" s="62"/>
      <c r="S419" s="63"/>
    </row>
    <row r="420">
      <c r="A420" s="90"/>
      <c r="B420" s="90"/>
      <c r="C420" s="67"/>
      <c r="D420" s="61"/>
      <c r="E420" s="62"/>
      <c r="F420" s="87"/>
      <c r="G420" s="64"/>
      <c r="H420" s="88"/>
      <c r="I420" s="88"/>
      <c r="J420" s="88"/>
      <c r="K420" s="88"/>
      <c r="L420" s="88"/>
      <c r="M420" s="88"/>
      <c r="N420" s="88"/>
      <c r="O420" s="88"/>
      <c r="P420" s="88"/>
      <c r="Q420" s="62"/>
      <c r="R420" s="62"/>
      <c r="S420" s="63"/>
    </row>
    <row r="421">
      <c r="A421" s="90"/>
      <c r="B421" s="90"/>
      <c r="C421" s="67"/>
      <c r="D421" s="61"/>
      <c r="E421" s="62"/>
      <c r="F421" s="87"/>
      <c r="G421" s="64"/>
      <c r="H421" s="88"/>
      <c r="I421" s="88"/>
      <c r="J421" s="88"/>
      <c r="K421" s="88"/>
      <c r="L421" s="88"/>
      <c r="M421" s="88"/>
      <c r="N421" s="88"/>
      <c r="O421" s="88"/>
      <c r="P421" s="88"/>
      <c r="Q421" s="62"/>
      <c r="R421" s="62"/>
      <c r="S421" s="63"/>
    </row>
    <row r="422">
      <c r="A422" s="90"/>
      <c r="B422" s="90"/>
      <c r="C422" s="67"/>
      <c r="D422" s="61"/>
      <c r="E422" s="62"/>
      <c r="F422" s="87"/>
      <c r="G422" s="64"/>
      <c r="H422" s="88"/>
      <c r="I422" s="88"/>
      <c r="J422" s="88"/>
      <c r="K422" s="88"/>
      <c r="L422" s="88"/>
      <c r="M422" s="88"/>
      <c r="N422" s="88"/>
      <c r="O422" s="88"/>
      <c r="P422" s="88"/>
      <c r="Q422" s="62"/>
      <c r="R422" s="62"/>
      <c r="S422" s="63"/>
    </row>
    <row r="423">
      <c r="A423" s="90"/>
      <c r="B423" s="90"/>
      <c r="C423" s="67"/>
      <c r="D423" s="61"/>
      <c r="E423" s="62"/>
      <c r="F423" s="87"/>
      <c r="G423" s="64"/>
      <c r="H423" s="88"/>
      <c r="I423" s="88"/>
      <c r="J423" s="88"/>
      <c r="K423" s="88"/>
      <c r="L423" s="88"/>
      <c r="M423" s="88"/>
      <c r="N423" s="88"/>
      <c r="O423" s="88"/>
      <c r="P423" s="88"/>
      <c r="Q423" s="62"/>
      <c r="R423" s="62"/>
      <c r="S423" s="63"/>
    </row>
    <row r="424">
      <c r="A424" s="90"/>
      <c r="B424" s="90"/>
      <c r="C424" s="67"/>
      <c r="D424" s="61"/>
      <c r="E424" s="62"/>
      <c r="F424" s="87"/>
      <c r="G424" s="64"/>
      <c r="H424" s="88"/>
      <c r="I424" s="88"/>
      <c r="J424" s="88"/>
      <c r="K424" s="88"/>
      <c r="L424" s="88"/>
      <c r="M424" s="88"/>
      <c r="N424" s="88"/>
      <c r="O424" s="88"/>
      <c r="P424" s="88"/>
      <c r="Q424" s="62"/>
      <c r="R424" s="62"/>
      <c r="S424" s="63"/>
    </row>
    <row r="425">
      <c r="A425" s="90"/>
      <c r="B425" s="90"/>
      <c r="C425" s="67"/>
      <c r="D425" s="61"/>
      <c r="E425" s="62"/>
      <c r="F425" s="87"/>
      <c r="G425" s="64"/>
      <c r="H425" s="88"/>
      <c r="I425" s="88"/>
      <c r="J425" s="88"/>
      <c r="K425" s="88"/>
      <c r="L425" s="88"/>
      <c r="M425" s="88"/>
      <c r="N425" s="88"/>
      <c r="O425" s="88"/>
      <c r="P425" s="88"/>
      <c r="Q425" s="62"/>
      <c r="R425" s="62"/>
      <c r="S425" s="63"/>
    </row>
    <row r="426">
      <c r="A426" s="90"/>
      <c r="B426" s="90"/>
      <c r="C426" s="67"/>
      <c r="D426" s="61"/>
      <c r="E426" s="62"/>
      <c r="F426" s="87"/>
      <c r="G426" s="64"/>
      <c r="H426" s="88"/>
      <c r="I426" s="88"/>
      <c r="J426" s="88"/>
      <c r="K426" s="88"/>
      <c r="L426" s="88"/>
      <c r="M426" s="88"/>
      <c r="N426" s="88"/>
      <c r="O426" s="88"/>
      <c r="P426" s="88"/>
      <c r="Q426" s="62"/>
      <c r="R426" s="62"/>
      <c r="S426" s="63"/>
    </row>
    <row r="427">
      <c r="A427" s="90"/>
      <c r="B427" s="90"/>
      <c r="C427" s="67"/>
      <c r="D427" s="61"/>
      <c r="E427" s="62"/>
      <c r="F427" s="87"/>
      <c r="G427" s="64"/>
      <c r="H427" s="88"/>
      <c r="I427" s="88"/>
      <c r="J427" s="88"/>
      <c r="K427" s="88"/>
      <c r="L427" s="88"/>
      <c r="M427" s="88"/>
      <c r="N427" s="88"/>
      <c r="O427" s="88"/>
      <c r="P427" s="88"/>
      <c r="Q427" s="62"/>
      <c r="R427" s="62"/>
      <c r="S427" s="63"/>
    </row>
    <row r="428">
      <c r="A428" s="90"/>
      <c r="B428" s="90"/>
      <c r="C428" s="67"/>
      <c r="D428" s="61"/>
      <c r="E428" s="62"/>
      <c r="F428" s="87"/>
      <c r="G428" s="64"/>
      <c r="H428" s="88"/>
      <c r="I428" s="88"/>
      <c r="J428" s="88"/>
      <c r="K428" s="88"/>
      <c r="L428" s="88"/>
      <c r="M428" s="88"/>
      <c r="N428" s="88"/>
      <c r="O428" s="88"/>
      <c r="P428" s="88"/>
      <c r="Q428" s="62"/>
      <c r="R428" s="62"/>
      <c r="S428" s="63"/>
    </row>
    <row r="429">
      <c r="A429" s="90"/>
      <c r="B429" s="90"/>
      <c r="C429" s="67"/>
      <c r="D429" s="61"/>
      <c r="E429" s="62"/>
      <c r="F429" s="87"/>
      <c r="G429" s="64"/>
      <c r="H429" s="88"/>
      <c r="I429" s="88"/>
      <c r="J429" s="88"/>
      <c r="K429" s="88"/>
      <c r="L429" s="88"/>
      <c r="M429" s="88"/>
      <c r="N429" s="88"/>
      <c r="O429" s="88"/>
      <c r="P429" s="88"/>
      <c r="Q429" s="62"/>
      <c r="R429" s="62"/>
      <c r="S429" s="63"/>
    </row>
    <row r="430">
      <c r="A430" s="90"/>
      <c r="B430" s="90"/>
      <c r="C430" s="67"/>
      <c r="D430" s="61"/>
      <c r="E430" s="62"/>
      <c r="F430" s="87"/>
      <c r="G430" s="64"/>
      <c r="H430" s="88"/>
      <c r="I430" s="88"/>
      <c r="J430" s="88"/>
      <c r="K430" s="88"/>
      <c r="L430" s="88"/>
      <c r="M430" s="88"/>
      <c r="N430" s="88"/>
      <c r="O430" s="88"/>
      <c r="P430" s="88"/>
      <c r="Q430" s="62"/>
      <c r="R430" s="62"/>
      <c r="S430" s="63"/>
    </row>
    <row r="431">
      <c r="A431" s="90"/>
      <c r="B431" s="90"/>
      <c r="C431" s="67"/>
      <c r="D431" s="61"/>
      <c r="E431" s="62"/>
      <c r="F431" s="87"/>
      <c r="G431" s="64"/>
      <c r="H431" s="88"/>
      <c r="I431" s="88"/>
      <c r="J431" s="88"/>
      <c r="K431" s="88"/>
      <c r="L431" s="88"/>
      <c r="M431" s="88"/>
      <c r="N431" s="88"/>
      <c r="O431" s="88"/>
      <c r="P431" s="88"/>
      <c r="Q431" s="62"/>
      <c r="R431" s="62"/>
      <c r="S431" s="63"/>
    </row>
    <row r="432">
      <c r="A432" s="90"/>
      <c r="B432" s="90"/>
      <c r="C432" s="67"/>
      <c r="D432" s="61"/>
      <c r="E432" s="62"/>
      <c r="F432" s="87"/>
      <c r="G432" s="64"/>
      <c r="H432" s="88"/>
      <c r="I432" s="88"/>
      <c r="J432" s="88"/>
      <c r="K432" s="88"/>
      <c r="L432" s="88"/>
      <c r="M432" s="88"/>
      <c r="N432" s="88"/>
      <c r="O432" s="88"/>
      <c r="P432" s="88"/>
      <c r="Q432" s="62"/>
      <c r="R432" s="62"/>
      <c r="S432" s="63"/>
    </row>
    <row r="433">
      <c r="A433" s="90"/>
      <c r="B433" s="90"/>
      <c r="C433" s="67"/>
      <c r="D433" s="61"/>
      <c r="E433" s="62"/>
      <c r="F433" s="87"/>
      <c r="G433" s="64"/>
      <c r="H433" s="88"/>
      <c r="I433" s="88"/>
      <c r="J433" s="88"/>
      <c r="K433" s="88"/>
      <c r="L433" s="88"/>
      <c r="M433" s="88"/>
      <c r="N433" s="88"/>
      <c r="O433" s="88"/>
      <c r="P433" s="88"/>
      <c r="Q433" s="62"/>
      <c r="R433" s="62"/>
      <c r="S433" s="63"/>
    </row>
    <row r="434">
      <c r="A434" s="90"/>
      <c r="B434" s="90"/>
      <c r="C434" s="67"/>
      <c r="D434" s="61"/>
      <c r="E434" s="62"/>
      <c r="F434" s="87"/>
      <c r="G434" s="64"/>
      <c r="H434" s="88"/>
      <c r="I434" s="88"/>
      <c r="J434" s="88"/>
      <c r="K434" s="88"/>
      <c r="L434" s="88"/>
      <c r="M434" s="88"/>
      <c r="N434" s="88"/>
      <c r="O434" s="88"/>
      <c r="P434" s="88"/>
      <c r="Q434" s="62"/>
      <c r="R434" s="62"/>
      <c r="S434" s="63"/>
    </row>
    <row r="435">
      <c r="A435" s="90"/>
      <c r="B435" s="90"/>
      <c r="C435" s="67"/>
      <c r="D435" s="61"/>
      <c r="E435" s="62"/>
      <c r="F435" s="87"/>
      <c r="G435" s="64"/>
      <c r="H435" s="88"/>
      <c r="I435" s="88"/>
      <c r="J435" s="88"/>
      <c r="K435" s="88"/>
      <c r="L435" s="88"/>
      <c r="M435" s="88"/>
      <c r="N435" s="88"/>
      <c r="O435" s="88"/>
      <c r="P435" s="88"/>
      <c r="Q435" s="62"/>
      <c r="R435" s="62"/>
      <c r="S435" s="63"/>
    </row>
    <row r="436">
      <c r="A436" s="90"/>
      <c r="B436" s="90"/>
      <c r="C436" s="67"/>
      <c r="D436" s="61"/>
      <c r="E436" s="62"/>
      <c r="F436" s="87"/>
      <c r="G436" s="64"/>
      <c r="H436" s="88"/>
      <c r="I436" s="88"/>
      <c r="J436" s="88"/>
      <c r="K436" s="88"/>
      <c r="L436" s="88"/>
      <c r="M436" s="88"/>
      <c r="N436" s="88"/>
      <c r="O436" s="88"/>
      <c r="P436" s="88"/>
      <c r="Q436" s="62"/>
      <c r="R436" s="62"/>
      <c r="S436" s="63"/>
    </row>
    <row r="437">
      <c r="A437" s="90"/>
      <c r="B437" s="90"/>
      <c r="C437" s="67"/>
      <c r="D437" s="61"/>
      <c r="E437" s="62"/>
      <c r="F437" s="87"/>
      <c r="G437" s="64"/>
      <c r="H437" s="88"/>
      <c r="I437" s="88"/>
      <c r="J437" s="88"/>
      <c r="K437" s="88"/>
      <c r="L437" s="88"/>
      <c r="M437" s="88"/>
      <c r="N437" s="88"/>
      <c r="O437" s="88"/>
      <c r="P437" s="88"/>
      <c r="Q437" s="62"/>
      <c r="R437" s="62"/>
      <c r="S437" s="63"/>
    </row>
    <row r="438">
      <c r="A438" s="90"/>
      <c r="B438" s="90"/>
      <c r="C438" s="67"/>
      <c r="D438" s="61"/>
      <c r="E438" s="62"/>
      <c r="F438" s="87"/>
      <c r="G438" s="64"/>
      <c r="H438" s="88"/>
      <c r="I438" s="88"/>
      <c r="J438" s="88"/>
      <c r="K438" s="88"/>
      <c r="L438" s="88"/>
      <c r="M438" s="88"/>
      <c r="N438" s="88"/>
      <c r="O438" s="88"/>
      <c r="P438" s="88"/>
      <c r="Q438" s="62"/>
      <c r="R438" s="62"/>
      <c r="S438" s="63"/>
    </row>
    <row r="439">
      <c r="A439" s="90"/>
      <c r="B439" s="90"/>
      <c r="C439" s="67"/>
      <c r="D439" s="61"/>
      <c r="E439" s="62"/>
      <c r="F439" s="87"/>
      <c r="G439" s="64"/>
      <c r="H439" s="88"/>
      <c r="I439" s="88"/>
      <c r="J439" s="88"/>
      <c r="K439" s="88"/>
      <c r="L439" s="88"/>
      <c r="M439" s="88"/>
      <c r="N439" s="88"/>
      <c r="O439" s="88"/>
      <c r="P439" s="88"/>
      <c r="Q439" s="62"/>
      <c r="R439" s="62"/>
      <c r="S439" s="63"/>
    </row>
    <row r="440">
      <c r="A440" s="90"/>
      <c r="B440" s="90"/>
      <c r="C440" s="67"/>
      <c r="D440" s="61"/>
      <c r="E440" s="62"/>
      <c r="F440" s="87"/>
      <c r="G440" s="64"/>
      <c r="H440" s="88"/>
      <c r="I440" s="88"/>
      <c r="J440" s="88"/>
      <c r="K440" s="88"/>
      <c r="L440" s="88"/>
      <c r="M440" s="88"/>
      <c r="N440" s="88"/>
      <c r="O440" s="88"/>
      <c r="P440" s="88"/>
      <c r="Q440" s="62"/>
      <c r="R440" s="62"/>
      <c r="S440" s="63"/>
    </row>
    <row r="441">
      <c r="A441" s="90"/>
      <c r="B441" s="90"/>
      <c r="C441" s="67"/>
      <c r="D441" s="61"/>
      <c r="E441" s="62"/>
      <c r="F441" s="87"/>
      <c r="G441" s="64"/>
      <c r="H441" s="88"/>
      <c r="I441" s="88"/>
      <c r="J441" s="88"/>
      <c r="K441" s="88"/>
      <c r="L441" s="88"/>
      <c r="M441" s="88"/>
      <c r="N441" s="88"/>
      <c r="O441" s="88"/>
      <c r="P441" s="88"/>
      <c r="Q441" s="62"/>
      <c r="R441" s="62"/>
      <c r="S441" s="63"/>
    </row>
    <row r="442">
      <c r="A442" s="90"/>
      <c r="B442" s="90"/>
      <c r="C442" s="67"/>
      <c r="D442" s="61"/>
      <c r="E442" s="62"/>
      <c r="F442" s="87"/>
      <c r="G442" s="64"/>
      <c r="H442" s="88"/>
      <c r="I442" s="88"/>
      <c r="J442" s="88"/>
      <c r="K442" s="88"/>
      <c r="L442" s="88"/>
      <c r="M442" s="88"/>
      <c r="N442" s="88"/>
      <c r="O442" s="88"/>
      <c r="P442" s="88"/>
      <c r="Q442" s="62"/>
      <c r="R442" s="62"/>
      <c r="S442" s="63"/>
    </row>
    <row r="443">
      <c r="A443" s="90"/>
      <c r="B443" s="90"/>
      <c r="C443" s="67"/>
      <c r="D443" s="61"/>
      <c r="E443" s="62"/>
      <c r="F443" s="87"/>
      <c r="G443" s="64"/>
      <c r="H443" s="88"/>
      <c r="I443" s="88"/>
      <c r="J443" s="88"/>
      <c r="K443" s="88"/>
      <c r="L443" s="88"/>
      <c r="M443" s="88"/>
      <c r="N443" s="88"/>
      <c r="O443" s="88"/>
      <c r="P443" s="88"/>
      <c r="Q443" s="62"/>
      <c r="R443" s="62"/>
      <c r="S443" s="63"/>
    </row>
    <row r="444">
      <c r="A444" s="90"/>
      <c r="B444" s="90"/>
      <c r="C444" s="67"/>
      <c r="D444" s="61"/>
      <c r="E444" s="62"/>
      <c r="F444" s="87"/>
      <c r="G444" s="64"/>
      <c r="H444" s="88"/>
      <c r="I444" s="88"/>
      <c r="J444" s="88"/>
      <c r="K444" s="88"/>
      <c r="L444" s="88"/>
      <c r="M444" s="88"/>
      <c r="N444" s="88"/>
      <c r="O444" s="88"/>
      <c r="P444" s="88"/>
      <c r="Q444" s="62"/>
      <c r="R444" s="62"/>
      <c r="S444" s="63"/>
    </row>
    <row r="445">
      <c r="A445" s="90"/>
      <c r="B445" s="90"/>
      <c r="C445" s="67"/>
      <c r="D445" s="61"/>
      <c r="E445" s="62"/>
      <c r="F445" s="87"/>
      <c r="G445" s="64"/>
      <c r="H445" s="88"/>
      <c r="I445" s="88"/>
      <c r="J445" s="88"/>
      <c r="K445" s="88"/>
      <c r="L445" s="88"/>
      <c r="M445" s="88"/>
      <c r="N445" s="88"/>
      <c r="O445" s="88"/>
      <c r="P445" s="88"/>
      <c r="Q445" s="62"/>
      <c r="R445" s="62"/>
      <c r="S445" s="63"/>
    </row>
    <row r="446">
      <c r="A446" s="90"/>
      <c r="B446" s="90"/>
      <c r="C446" s="67"/>
      <c r="D446" s="61"/>
      <c r="E446" s="62"/>
      <c r="F446" s="87"/>
      <c r="G446" s="64"/>
      <c r="H446" s="88"/>
      <c r="I446" s="88"/>
      <c r="J446" s="88"/>
      <c r="K446" s="88"/>
      <c r="L446" s="88"/>
      <c r="M446" s="88"/>
      <c r="N446" s="88"/>
      <c r="O446" s="88"/>
      <c r="P446" s="88"/>
      <c r="Q446" s="62"/>
      <c r="R446" s="62"/>
      <c r="S446" s="63"/>
    </row>
    <row r="447">
      <c r="A447" s="90"/>
      <c r="B447" s="90"/>
      <c r="C447" s="67"/>
      <c r="D447" s="61"/>
      <c r="E447" s="62"/>
      <c r="F447" s="87"/>
      <c r="G447" s="64"/>
      <c r="H447" s="88"/>
      <c r="I447" s="88"/>
      <c r="J447" s="88"/>
      <c r="K447" s="88"/>
      <c r="L447" s="88"/>
      <c r="M447" s="88"/>
      <c r="N447" s="88"/>
      <c r="O447" s="88"/>
      <c r="P447" s="88"/>
      <c r="Q447" s="62"/>
      <c r="R447" s="62"/>
      <c r="S447" s="63"/>
    </row>
    <row r="448">
      <c r="A448" s="90"/>
      <c r="B448" s="90"/>
      <c r="C448" s="67"/>
      <c r="D448" s="61"/>
      <c r="E448" s="62"/>
      <c r="F448" s="87"/>
      <c r="G448" s="64"/>
      <c r="H448" s="88"/>
      <c r="I448" s="88"/>
      <c r="J448" s="88"/>
      <c r="K448" s="88"/>
      <c r="L448" s="88"/>
      <c r="M448" s="88"/>
      <c r="N448" s="88"/>
      <c r="O448" s="88"/>
      <c r="P448" s="88"/>
      <c r="Q448" s="62"/>
      <c r="R448" s="62"/>
      <c r="S448" s="63"/>
    </row>
    <row r="449">
      <c r="A449" s="90"/>
      <c r="B449" s="90"/>
      <c r="C449" s="67"/>
      <c r="D449" s="61"/>
      <c r="E449" s="62"/>
      <c r="F449" s="87"/>
      <c r="G449" s="64"/>
      <c r="H449" s="88"/>
      <c r="I449" s="88"/>
      <c r="J449" s="88"/>
      <c r="K449" s="88"/>
      <c r="L449" s="88"/>
      <c r="M449" s="88"/>
      <c r="N449" s="88"/>
      <c r="O449" s="88"/>
      <c r="P449" s="88"/>
      <c r="Q449" s="62"/>
      <c r="R449" s="62"/>
      <c r="S449" s="63"/>
    </row>
    <row r="450">
      <c r="A450" s="90"/>
      <c r="B450" s="90"/>
      <c r="C450" s="67"/>
      <c r="D450" s="61"/>
      <c r="E450" s="62"/>
      <c r="F450" s="87"/>
      <c r="G450" s="64"/>
      <c r="H450" s="88"/>
      <c r="I450" s="88"/>
      <c r="J450" s="88"/>
      <c r="K450" s="88"/>
      <c r="L450" s="88"/>
      <c r="M450" s="88"/>
      <c r="N450" s="88"/>
      <c r="O450" s="88"/>
      <c r="P450" s="88"/>
      <c r="Q450" s="62"/>
      <c r="R450" s="62"/>
      <c r="S450" s="63"/>
    </row>
    <row r="451">
      <c r="A451" s="90"/>
      <c r="B451" s="90"/>
      <c r="C451" s="67"/>
      <c r="D451" s="61"/>
      <c r="E451" s="62"/>
      <c r="F451" s="87"/>
      <c r="G451" s="64"/>
      <c r="H451" s="88"/>
      <c r="I451" s="88"/>
      <c r="J451" s="88"/>
      <c r="K451" s="88"/>
      <c r="L451" s="88"/>
      <c r="M451" s="88"/>
      <c r="N451" s="88"/>
      <c r="O451" s="88"/>
      <c r="P451" s="88"/>
      <c r="Q451" s="62"/>
      <c r="R451" s="62"/>
      <c r="S451" s="63"/>
    </row>
    <row r="452">
      <c r="A452" s="90"/>
      <c r="B452" s="90"/>
      <c r="C452" s="67"/>
      <c r="D452" s="61"/>
      <c r="E452" s="62"/>
      <c r="F452" s="87"/>
      <c r="G452" s="64"/>
      <c r="H452" s="88"/>
      <c r="I452" s="88"/>
      <c r="J452" s="88"/>
      <c r="K452" s="88"/>
      <c r="L452" s="88"/>
      <c r="M452" s="88"/>
      <c r="N452" s="88"/>
      <c r="O452" s="88"/>
      <c r="P452" s="88"/>
      <c r="Q452" s="62"/>
      <c r="R452" s="62"/>
      <c r="S452" s="63"/>
    </row>
    <row r="453">
      <c r="A453" s="90"/>
      <c r="B453" s="90"/>
      <c r="C453" s="67"/>
      <c r="D453" s="61"/>
      <c r="E453" s="62"/>
      <c r="F453" s="87"/>
      <c r="G453" s="64"/>
      <c r="H453" s="88"/>
      <c r="I453" s="88"/>
      <c r="J453" s="88"/>
      <c r="K453" s="88"/>
      <c r="L453" s="88"/>
      <c r="M453" s="88"/>
      <c r="N453" s="88"/>
      <c r="O453" s="88"/>
      <c r="P453" s="88"/>
      <c r="Q453" s="62"/>
      <c r="R453" s="62"/>
      <c r="S453" s="63"/>
    </row>
    <row r="454">
      <c r="A454" s="90"/>
      <c r="B454" s="90"/>
      <c r="C454" s="67"/>
      <c r="D454" s="61"/>
      <c r="E454" s="62"/>
      <c r="F454" s="87"/>
      <c r="G454" s="64"/>
      <c r="H454" s="88"/>
      <c r="I454" s="88"/>
      <c r="J454" s="88"/>
      <c r="K454" s="88"/>
      <c r="L454" s="88"/>
      <c r="M454" s="88"/>
      <c r="N454" s="88"/>
      <c r="O454" s="88"/>
      <c r="P454" s="88"/>
      <c r="Q454" s="62"/>
      <c r="R454" s="62"/>
      <c r="S454" s="63"/>
    </row>
    <row r="455">
      <c r="A455" s="90"/>
      <c r="B455" s="90"/>
      <c r="C455" s="67"/>
      <c r="D455" s="61"/>
      <c r="E455" s="62"/>
      <c r="F455" s="87"/>
      <c r="G455" s="64"/>
      <c r="H455" s="88"/>
      <c r="I455" s="88"/>
      <c r="J455" s="88"/>
      <c r="K455" s="88"/>
      <c r="L455" s="88"/>
      <c r="M455" s="88"/>
      <c r="N455" s="88"/>
      <c r="O455" s="88"/>
      <c r="P455" s="88"/>
      <c r="Q455" s="62"/>
      <c r="R455" s="62"/>
      <c r="S455" s="63"/>
    </row>
    <row r="456">
      <c r="A456" s="90"/>
      <c r="B456" s="90"/>
      <c r="C456" s="67"/>
      <c r="D456" s="61"/>
      <c r="E456" s="62"/>
      <c r="F456" s="87"/>
      <c r="G456" s="64"/>
      <c r="H456" s="88"/>
      <c r="I456" s="88"/>
      <c r="J456" s="88"/>
      <c r="K456" s="88"/>
      <c r="L456" s="88"/>
      <c r="M456" s="88"/>
      <c r="N456" s="88"/>
      <c r="O456" s="88"/>
      <c r="P456" s="88"/>
      <c r="Q456" s="62"/>
      <c r="R456" s="62"/>
      <c r="S456" s="63"/>
    </row>
    <row r="457">
      <c r="A457" s="90"/>
      <c r="B457" s="90"/>
      <c r="C457" s="67"/>
      <c r="D457" s="61"/>
      <c r="E457" s="62"/>
      <c r="F457" s="87"/>
      <c r="G457" s="64"/>
      <c r="H457" s="88"/>
      <c r="I457" s="88"/>
      <c r="J457" s="88"/>
      <c r="K457" s="88"/>
      <c r="L457" s="88"/>
      <c r="M457" s="88"/>
      <c r="N457" s="88"/>
      <c r="O457" s="88"/>
      <c r="P457" s="88"/>
      <c r="Q457" s="62"/>
      <c r="R457" s="62"/>
      <c r="S457" s="63"/>
    </row>
    <row r="458">
      <c r="A458" s="90"/>
      <c r="B458" s="90"/>
      <c r="C458" s="67"/>
      <c r="D458" s="61"/>
      <c r="E458" s="62"/>
      <c r="F458" s="87"/>
      <c r="G458" s="64"/>
      <c r="H458" s="88"/>
      <c r="I458" s="88"/>
      <c r="J458" s="88"/>
      <c r="K458" s="88"/>
      <c r="L458" s="88"/>
      <c r="M458" s="88"/>
      <c r="N458" s="88"/>
      <c r="O458" s="88"/>
      <c r="P458" s="88"/>
      <c r="Q458" s="62"/>
      <c r="R458" s="62"/>
      <c r="S458" s="63"/>
    </row>
    <row r="459">
      <c r="A459" s="90"/>
      <c r="B459" s="90"/>
      <c r="C459" s="67"/>
      <c r="D459" s="61"/>
      <c r="E459" s="62"/>
      <c r="F459" s="87"/>
      <c r="G459" s="64"/>
      <c r="H459" s="88"/>
      <c r="I459" s="88"/>
      <c r="J459" s="88"/>
      <c r="K459" s="88"/>
      <c r="L459" s="88"/>
      <c r="M459" s="88"/>
      <c r="N459" s="88"/>
      <c r="O459" s="88"/>
      <c r="P459" s="88"/>
      <c r="Q459" s="62"/>
      <c r="R459" s="62"/>
      <c r="S459" s="63"/>
    </row>
    <row r="460">
      <c r="A460" s="90"/>
      <c r="B460" s="90"/>
      <c r="C460" s="67"/>
      <c r="D460" s="61"/>
      <c r="E460" s="62"/>
      <c r="F460" s="87"/>
      <c r="G460" s="64"/>
      <c r="H460" s="88"/>
      <c r="I460" s="88"/>
      <c r="J460" s="88"/>
      <c r="K460" s="88"/>
      <c r="L460" s="88"/>
      <c r="M460" s="88"/>
      <c r="N460" s="88"/>
      <c r="O460" s="88"/>
      <c r="P460" s="88"/>
      <c r="Q460" s="62"/>
      <c r="R460" s="62"/>
      <c r="S460" s="63"/>
    </row>
    <row r="461">
      <c r="A461" s="90"/>
      <c r="B461" s="90"/>
      <c r="C461" s="67"/>
      <c r="D461" s="61"/>
      <c r="E461" s="62"/>
      <c r="F461" s="87"/>
      <c r="G461" s="64"/>
      <c r="H461" s="88"/>
      <c r="I461" s="88"/>
      <c r="J461" s="88"/>
      <c r="K461" s="88"/>
      <c r="L461" s="88"/>
      <c r="M461" s="88"/>
      <c r="N461" s="88"/>
      <c r="O461" s="88"/>
      <c r="P461" s="88"/>
      <c r="Q461" s="62"/>
      <c r="R461" s="62"/>
      <c r="S461" s="63"/>
    </row>
    <row r="462">
      <c r="A462" s="90"/>
      <c r="B462" s="90"/>
      <c r="C462" s="67"/>
      <c r="D462" s="61"/>
      <c r="E462" s="62"/>
      <c r="F462" s="87"/>
      <c r="G462" s="64"/>
      <c r="H462" s="88"/>
      <c r="I462" s="88"/>
      <c r="J462" s="88"/>
      <c r="K462" s="88"/>
      <c r="L462" s="88"/>
      <c r="M462" s="88"/>
      <c r="N462" s="88"/>
      <c r="O462" s="88"/>
      <c r="P462" s="88"/>
      <c r="Q462" s="62"/>
      <c r="R462" s="62"/>
      <c r="S462" s="63"/>
    </row>
    <row r="463">
      <c r="A463" s="90"/>
      <c r="B463" s="90"/>
      <c r="C463" s="67"/>
      <c r="D463" s="61"/>
      <c r="E463" s="62"/>
      <c r="F463" s="87"/>
      <c r="G463" s="64"/>
      <c r="H463" s="88"/>
      <c r="I463" s="88"/>
      <c r="J463" s="88"/>
      <c r="K463" s="88"/>
      <c r="L463" s="88"/>
      <c r="M463" s="88"/>
      <c r="N463" s="88"/>
      <c r="O463" s="88"/>
      <c r="P463" s="88"/>
      <c r="Q463" s="62"/>
      <c r="R463" s="62"/>
      <c r="S463" s="63"/>
    </row>
    <row r="464">
      <c r="A464" s="90"/>
      <c r="B464" s="90"/>
      <c r="C464" s="67"/>
      <c r="D464" s="61"/>
      <c r="E464" s="62"/>
      <c r="F464" s="87"/>
      <c r="G464" s="64"/>
      <c r="H464" s="88"/>
      <c r="I464" s="88"/>
      <c r="J464" s="88"/>
      <c r="K464" s="88"/>
      <c r="L464" s="88"/>
      <c r="M464" s="88"/>
      <c r="N464" s="88"/>
      <c r="O464" s="88"/>
      <c r="P464" s="88"/>
      <c r="Q464" s="62"/>
      <c r="R464" s="62"/>
      <c r="S464" s="63"/>
    </row>
    <row r="465">
      <c r="A465" s="90"/>
      <c r="B465" s="90"/>
      <c r="C465" s="67"/>
      <c r="D465" s="61"/>
      <c r="E465" s="62"/>
      <c r="F465" s="87"/>
      <c r="G465" s="64"/>
      <c r="H465" s="88"/>
      <c r="I465" s="88"/>
      <c r="J465" s="88"/>
      <c r="K465" s="88"/>
      <c r="L465" s="88"/>
      <c r="M465" s="88"/>
      <c r="N465" s="88"/>
      <c r="O465" s="88"/>
      <c r="P465" s="88"/>
      <c r="Q465" s="62"/>
      <c r="R465" s="62"/>
      <c r="S465" s="63"/>
    </row>
    <row r="466">
      <c r="A466" s="90"/>
      <c r="B466" s="90"/>
      <c r="C466" s="67"/>
      <c r="D466" s="61"/>
      <c r="E466" s="62"/>
      <c r="F466" s="87"/>
      <c r="G466" s="64"/>
      <c r="H466" s="88"/>
      <c r="I466" s="88"/>
      <c r="J466" s="88"/>
      <c r="K466" s="88"/>
      <c r="L466" s="88"/>
      <c r="M466" s="88"/>
      <c r="N466" s="88"/>
      <c r="O466" s="88"/>
      <c r="P466" s="88"/>
      <c r="Q466" s="62"/>
      <c r="R466" s="62"/>
      <c r="S466" s="63"/>
    </row>
    <row r="467">
      <c r="A467" s="90"/>
      <c r="B467" s="90"/>
      <c r="C467" s="67"/>
      <c r="D467" s="61"/>
      <c r="E467" s="62"/>
      <c r="F467" s="87"/>
      <c r="G467" s="64"/>
      <c r="H467" s="88"/>
      <c r="I467" s="88"/>
      <c r="J467" s="88"/>
      <c r="K467" s="88"/>
      <c r="L467" s="88"/>
      <c r="M467" s="88"/>
      <c r="N467" s="88"/>
      <c r="O467" s="88"/>
      <c r="P467" s="88"/>
      <c r="Q467" s="62"/>
      <c r="R467" s="62"/>
      <c r="S467" s="63"/>
    </row>
    <row r="468">
      <c r="A468" s="90"/>
      <c r="B468" s="90"/>
      <c r="C468" s="67"/>
      <c r="D468" s="61"/>
      <c r="E468" s="62"/>
      <c r="F468" s="87"/>
      <c r="G468" s="64"/>
      <c r="H468" s="88"/>
      <c r="I468" s="88"/>
      <c r="J468" s="88"/>
      <c r="K468" s="88"/>
      <c r="L468" s="88"/>
      <c r="M468" s="88"/>
      <c r="N468" s="88"/>
      <c r="O468" s="88"/>
      <c r="P468" s="88"/>
      <c r="Q468" s="62"/>
      <c r="R468" s="62"/>
      <c r="S468" s="63"/>
    </row>
    <row r="469">
      <c r="A469" s="90"/>
      <c r="B469" s="90"/>
      <c r="C469" s="67"/>
      <c r="D469" s="61"/>
      <c r="E469" s="62"/>
      <c r="F469" s="87"/>
      <c r="G469" s="64"/>
      <c r="H469" s="88"/>
      <c r="I469" s="88"/>
      <c r="J469" s="88"/>
      <c r="K469" s="88"/>
      <c r="L469" s="88"/>
      <c r="M469" s="88"/>
      <c r="N469" s="88"/>
      <c r="O469" s="88"/>
      <c r="P469" s="88"/>
      <c r="Q469" s="62"/>
      <c r="R469" s="62"/>
      <c r="S469" s="63"/>
    </row>
    <row r="470">
      <c r="A470" s="90"/>
      <c r="B470" s="90"/>
      <c r="C470" s="67"/>
      <c r="D470" s="61"/>
      <c r="E470" s="62"/>
      <c r="F470" s="87"/>
      <c r="G470" s="64"/>
      <c r="H470" s="88"/>
      <c r="I470" s="88"/>
      <c r="J470" s="88"/>
      <c r="K470" s="88"/>
      <c r="L470" s="88"/>
      <c r="M470" s="88"/>
      <c r="N470" s="88"/>
      <c r="O470" s="88"/>
      <c r="P470" s="88"/>
      <c r="Q470" s="62"/>
      <c r="R470" s="62"/>
      <c r="S470" s="63"/>
    </row>
    <row r="471">
      <c r="A471" s="90"/>
      <c r="B471" s="90"/>
      <c r="C471" s="67"/>
      <c r="D471" s="61"/>
      <c r="E471" s="62"/>
      <c r="F471" s="87"/>
      <c r="G471" s="64"/>
      <c r="H471" s="88"/>
      <c r="I471" s="88"/>
      <c r="J471" s="88"/>
      <c r="K471" s="88"/>
      <c r="L471" s="88"/>
      <c r="M471" s="88"/>
      <c r="N471" s="88"/>
      <c r="O471" s="88"/>
      <c r="P471" s="88"/>
      <c r="Q471" s="62"/>
      <c r="R471" s="62"/>
      <c r="S471" s="63"/>
    </row>
    <row r="472">
      <c r="A472" s="90"/>
      <c r="B472" s="90"/>
      <c r="C472" s="67"/>
      <c r="D472" s="61"/>
      <c r="E472" s="62"/>
      <c r="F472" s="87"/>
      <c r="G472" s="64"/>
      <c r="H472" s="88"/>
      <c r="I472" s="88"/>
      <c r="J472" s="88"/>
      <c r="K472" s="88"/>
      <c r="L472" s="88"/>
      <c r="M472" s="88"/>
      <c r="N472" s="88"/>
      <c r="O472" s="88"/>
      <c r="P472" s="88"/>
      <c r="Q472" s="62"/>
      <c r="R472" s="62"/>
      <c r="S472" s="63"/>
    </row>
    <row r="473">
      <c r="A473" s="90"/>
      <c r="B473" s="90"/>
      <c r="C473" s="67"/>
      <c r="D473" s="61"/>
      <c r="E473" s="62"/>
      <c r="F473" s="87"/>
      <c r="G473" s="64"/>
      <c r="H473" s="88"/>
      <c r="I473" s="88"/>
      <c r="J473" s="88"/>
      <c r="K473" s="88"/>
      <c r="L473" s="88"/>
      <c r="M473" s="88"/>
      <c r="N473" s="88"/>
      <c r="O473" s="88"/>
      <c r="P473" s="88"/>
      <c r="Q473" s="62"/>
      <c r="R473" s="62"/>
      <c r="S473" s="63"/>
    </row>
    <row r="474">
      <c r="A474" s="90"/>
      <c r="B474" s="90"/>
      <c r="C474" s="67"/>
      <c r="D474" s="61"/>
      <c r="E474" s="62"/>
      <c r="F474" s="87"/>
      <c r="G474" s="64"/>
      <c r="H474" s="88"/>
      <c r="I474" s="88"/>
      <c r="J474" s="88"/>
      <c r="K474" s="88"/>
      <c r="L474" s="88"/>
      <c r="M474" s="88"/>
      <c r="N474" s="88"/>
      <c r="O474" s="88"/>
      <c r="P474" s="88"/>
      <c r="Q474" s="62"/>
      <c r="R474" s="62"/>
      <c r="S474" s="63"/>
    </row>
    <row r="475">
      <c r="A475" s="90"/>
      <c r="B475" s="90"/>
      <c r="C475" s="67"/>
      <c r="D475" s="61"/>
      <c r="E475" s="62"/>
      <c r="F475" s="87"/>
      <c r="G475" s="64"/>
      <c r="H475" s="88"/>
      <c r="I475" s="88"/>
      <c r="J475" s="88"/>
      <c r="K475" s="88"/>
      <c r="L475" s="88"/>
      <c r="M475" s="88"/>
      <c r="N475" s="88"/>
      <c r="O475" s="88"/>
      <c r="P475" s="88"/>
      <c r="Q475" s="62"/>
      <c r="R475" s="62"/>
      <c r="S475" s="63"/>
    </row>
    <row r="476">
      <c r="A476" s="90"/>
      <c r="B476" s="90"/>
      <c r="C476" s="67"/>
      <c r="D476" s="61"/>
      <c r="E476" s="62"/>
      <c r="F476" s="87"/>
      <c r="G476" s="64"/>
      <c r="H476" s="88"/>
      <c r="I476" s="88"/>
      <c r="J476" s="88"/>
      <c r="K476" s="88"/>
      <c r="L476" s="88"/>
      <c r="M476" s="88"/>
      <c r="N476" s="88"/>
      <c r="O476" s="88"/>
      <c r="P476" s="88"/>
      <c r="Q476" s="62"/>
      <c r="R476" s="62"/>
      <c r="S476" s="63"/>
    </row>
    <row r="477">
      <c r="A477" s="90"/>
      <c r="B477" s="90"/>
      <c r="C477" s="67"/>
      <c r="D477" s="61"/>
      <c r="E477" s="62"/>
      <c r="F477" s="87"/>
      <c r="G477" s="64"/>
      <c r="H477" s="88"/>
      <c r="I477" s="88"/>
      <c r="J477" s="88"/>
      <c r="K477" s="88"/>
      <c r="L477" s="88"/>
      <c r="M477" s="88"/>
      <c r="N477" s="88"/>
      <c r="O477" s="88"/>
      <c r="P477" s="88"/>
      <c r="Q477" s="62"/>
      <c r="R477" s="62"/>
      <c r="S477" s="63"/>
    </row>
    <row r="478">
      <c r="A478" s="90"/>
      <c r="B478" s="90"/>
      <c r="C478" s="67"/>
      <c r="D478" s="61"/>
      <c r="E478" s="62"/>
      <c r="F478" s="87"/>
      <c r="G478" s="64"/>
      <c r="H478" s="88"/>
      <c r="I478" s="88"/>
      <c r="J478" s="88"/>
      <c r="K478" s="88"/>
      <c r="L478" s="88"/>
      <c r="M478" s="88"/>
      <c r="N478" s="88"/>
      <c r="O478" s="88"/>
      <c r="P478" s="88"/>
      <c r="Q478" s="62"/>
      <c r="R478" s="62"/>
      <c r="S478" s="63"/>
    </row>
    <row r="479">
      <c r="A479" s="90"/>
      <c r="B479" s="90"/>
      <c r="C479" s="67"/>
      <c r="D479" s="61"/>
      <c r="E479" s="62"/>
      <c r="F479" s="87"/>
      <c r="G479" s="64"/>
      <c r="H479" s="88"/>
      <c r="I479" s="88"/>
      <c r="J479" s="88"/>
      <c r="K479" s="88"/>
      <c r="L479" s="88"/>
      <c r="M479" s="88"/>
      <c r="N479" s="88"/>
      <c r="O479" s="88"/>
      <c r="P479" s="88"/>
      <c r="Q479" s="62"/>
      <c r="R479" s="62"/>
      <c r="S479" s="63"/>
    </row>
    <row r="480">
      <c r="A480" s="90"/>
      <c r="B480" s="90"/>
      <c r="C480" s="67"/>
      <c r="D480" s="61"/>
      <c r="E480" s="62"/>
      <c r="F480" s="87"/>
      <c r="G480" s="64"/>
      <c r="H480" s="88"/>
      <c r="I480" s="88"/>
      <c r="J480" s="88"/>
      <c r="K480" s="88"/>
      <c r="L480" s="88"/>
      <c r="M480" s="88"/>
      <c r="N480" s="88"/>
      <c r="O480" s="88"/>
      <c r="P480" s="88"/>
      <c r="Q480" s="62"/>
      <c r="R480" s="62"/>
      <c r="S480" s="63"/>
    </row>
    <row r="481">
      <c r="A481" s="90"/>
      <c r="B481" s="90"/>
      <c r="C481" s="67"/>
      <c r="D481" s="61"/>
      <c r="E481" s="62"/>
      <c r="F481" s="87"/>
      <c r="G481" s="64"/>
      <c r="H481" s="88"/>
      <c r="I481" s="88"/>
      <c r="J481" s="88"/>
      <c r="K481" s="88"/>
      <c r="L481" s="88"/>
      <c r="M481" s="88"/>
      <c r="N481" s="88"/>
      <c r="O481" s="88"/>
      <c r="P481" s="88"/>
      <c r="Q481" s="62"/>
      <c r="R481" s="62"/>
      <c r="S481" s="63"/>
    </row>
    <row r="482">
      <c r="A482" s="90"/>
      <c r="B482" s="90"/>
      <c r="C482" s="67"/>
      <c r="D482" s="61"/>
      <c r="E482" s="62"/>
      <c r="F482" s="87"/>
      <c r="G482" s="64"/>
      <c r="H482" s="88"/>
      <c r="I482" s="88"/>
      <c r="J482" s="88"/>
      <c r="K482" s="88"/>
      <c r="L482" s="88"/>
      <c r="M482" s="88"/>
      <c r="N482" s="88"/>
      <c r="O482" s="88"/>
      <c r="P482" s="88"/>
      <c r="Q482" s="62"/>
      <c r="R482" s="62"/>
      <c r="S482" s="63"/>
    </row>
    <row r="483">
      <c r="A483" s="90"/>
      <c r="B483" s="90"/>
      <c r="C483" s="67"/>
      <c r="D483" s="61"/>
      <c r="E483" s="62"/>
      <c r="F483" s="87"/>
      <c r="G483" s="64"/>
      <c r="H483" s="88"/>
      <c r="I483" s="88"/>
      <c r="J483" s="88"/>
      <c r="K483" s="88"/>
      <c r="L483" s="88"/>
      <c r="M483" s="88"/>
      <c r="N483" s="88"/>
      <c r="O483" s="88"/>
      <c r="P483" s="88"/>
      <c r="Q483" s="62"/>
      <c r="R483" s="62"/>
      <c r="S483" s="63"/>
    </row>
    <row r="484">
      <c r="A484" s="90"/>
      <c r="B484" s="90"/>
      <c r="C484" s="67"/>
      <c r="D484" s="61"/>
      <c r="E484" s="62"/>
      <c r="F484" s="87"/>
      <c r="G484" s="64"/>
      <c r="H484" s="88"/>
      <c r="I484" s="88"/>
      <c r="J484" s="88"/>
      <c r="K484" s="88"/>
      <c r="L484" s="88"/>
      <c r="M484" s="88"/>
      <c r="N484" s="88"/>
      <c r="O484" s="88"/>
      <c r="P484" s="88"/>
      <c r="Q484" s="62"/>
      <c r="R484" s="62"/>
      <c r="S484" s="63"/>
    </row>
    <row r="485">
      <c r="A485" s="90"/>
      <c r="B485" s="90"/>
      <c r="C485" s="67"/>
      <c r="D485" s="61"/>
      <c r="E485" s="62"/>
      <c r="F485" s="87"/>
      <c r="G485" s="64"/>
      <c r="H485" s="88"/>
      <c r="I485" s="88"/>
      <c r="J485" s="88"/>
      <c r="K485" s="88"/>
      <c r="L485" s="88"/>
      <c r="M485" s="88"/>
      <c r="N485" s="88"/>
      <c r="O485" s="88"/>
      <c r="P485" s="88"/>
      <c r="Q485" s="62"/>
      <c r="R485" s="62"/>
      <c r="S485" s="63"/>
    </row>
    <row r="486">
      <c r="A486" s="90"/>
      <c r="B486" s="90"/>
      <c r="C486" s="67"/>
      <c r="D486" s="61"/>
      <c r="E486" s="62"/>
      <c r="F486" s="87"/>
      <c r="G486" s="64"/>
      <c r="H486" s="88"/>
      <c r="I486" s="88"/>
      <c r="J486" s="88"/>
      <c r="K486" s="88"/>
      <c r="L486" s="88"/>
      <c r="M486" s="88"/>
      <c r="N486" s="88"/>
      <c r="O486" s="88"/>
      <c r="P486" s="88"/>
      <c r="Q486" s="62"/>
      <c r="R486" s="62"/>
      <c r="S486" s="63"/>
    </row>
    <row r="487">
      <c r="A487" s="90"/>
      <c r="B487" s="90"/>
      <c r="C487" s="67"/>
      <c r="D487" s="61"/>
      <c r="E487" s="62"/>
      <c r="F487" s="87"/>
      <c r="G487" s="64"/>
      <c r="H487" s="88"/>
      <c r="I487" s="88"/>
      <c r="J487" s="88"/>
      <c r="K487" s="88"/>
      <c r="L487" s="88"/>
      <c r="M487" s="88"/>
      <c r="N487" s="88"/>
      <c r="O487" s="88"/>
      <c r="P487" s="88"/>
      <c r="Q487" s="62"/>
      <c r="R487" s="62"/>
      <c r="S487" s="63"/>
    </row>
    <row r="488">
      <c r="A488" s="90"/>
      <c r="B488" s="90"/>
      <c r="C488" s="67"/>
      <c r="D488" s="61"/>
      <c r="E488" s="62"/>
      <c r="F488" s="87"/>
      <c r="G488" s="64"/>
      <c r="H488" s="88"/>
      <c r="I488" s="88"/>
      <c r="J488" s="88"/>
      <c r="K488" s="88"/>
      <c r="L488" s="88"/>
      <c r="M488" s="88"/>
      <c r="N488" s="88"/>
      <c r="O488" s="88"/>
      <c r="P488" s="88"/>
      <c r="Q488" s="62"/>
      <c r="R488" s="62"/>
      <c r="S488" s="63"/>
    </row>
    <row r="489">
      <c r="A489" s="90"/>
      <c r="B489" s="90"/>
      <c r="C489" s="67"/>
      <c r="D489" s="61"/>
      <c r="E489" s="62"/>
      <c r="F489" s="87"/>
      <c r="G489" s="64"/>
      <c r="H489" s="88"/>
      <c r="I489" s="88"/>
      <c r="J489" s="88"/>
      <c r="K489" s="88"/>
      <c r="L489" s="88"/>
      <c r="M489" s="88"/>
      <c r="N489" s="88"/>
      <c r="O489" s="88"/>
      <c r="P489" s="88"/>
      <c r="Q489" s="62"/>
      <c r="R489" s="62"/>
      <c r="S489" s="63"/>
    </row>
    <row r="490">
      <c r="A490" s="90"/>
      <c r="B490" s="90"/>
      <c r="C490" s="67"/>
      <c r="D490" s="61"/>
      <c r="E490" s="62"/>
      <c r="F490" s="87"/>
      <c r="G490" s="64"/>
      <c r="H490" s="88"/>
      <c r="I490" s="88"/>
      <c r="J490" s="88"/>
      <c r="K490" s="88"/>
      <c r="L490" s="88"/>
      <c r="M490" s="88"/>
      <c r="N490" s="88"/>
      <c r="O490" s="88"/>
      <c r="P490" s="88"/>
      <c r="Q490" s="62"/>
      <c r="R490" s="62"/>
      <c r="S490" s="63"/>
    </row>
    <row r="491">
      <c r="A491" s="90"/>
      <c r="B491" s="90"/>
      <c r="C491" s="67"/>
      <c r="D491" s="61"/>
      <c r="E491" s="62"/>
      <c r="F491" s="87"/>
      <c r="G491" s="64"/>
      <c r="H491" s="88"/>
      <c r="I491" s="88"/>
      <c r="J491" s="88"/>
      <c r="K491" s="88"/>
      <c r="L491" s="88"/>
      <c r="M491" s="88"/>
      <c r="N491" s="88"/>
      <c r="O491" s="88"/>
      <c r="P491" s="88"/>
      <c r="Q491" s="62"/>
      <c r="R491" s="62"/>
      <c r="S491" s="63"/>
    </row>
    <row r="492">
      <c r="A492" s="90"/>
      <c r="B492" s="90"/>
      <c r="C492" s="67"/>
      <c r="D492" s="61"/>
      <c r="E492" s="62"/>
      <c r="F492" s="87"/>
      <c r="G492" s="64"/>
      <c r="H492" s="88"/>
      <c r="I492" s="88"/>
      <c r="J492" s="88"/>
      <c r="K492" s="88"/>
      <c r="L492" s="88"/>
      <c r="M492" s="88"/>
      <c r="N492" s="88"/>
      <c r="O492" s="88"/>
      <c r="P492" s="88"/>
      <c r="Q492" s="62"/>
      <c r="R492" s="62"/>
      <c r="S492" s="63"/>
    </row>
    <row r="493">
      <c r="A493" s="90"/>
      <c r="B493" s="90"/>
      <c r="C493" s="67"/>
      <c r="D493" s="61"/>
      <c r="E493" s="62"/>
      <c r="F493" s="87"/>
      <c r="G493" s="64"/>
      <c r="H493" s="88"/>
      <c r="I493" s="88"/>
      <c r="J493" s="88"/>
      <c r="K493" s="88"/>
      <c r="L493" s="88"/>
      <c r="M493" s="88"/>
      <c r="N493" s="88"/>
      <c r="O493" s="88"/>
      <c r="P493" s="88"/>
      <c r="Q493" s="62"/>
      <c r="R493" s="62"/>
      <c r="S493" s="63"/>
    </row>
    <row r="494">
      <c r="A494" s="90"/>
      <c r="B494" s="90"/>
      <c r="C494" s="67"/>
      <c r="D494" s="61"/>
      <c r="E494" s="62"/>
      <c r="F494" s="87"/>
      <c r="G494" s="64"/>
      <c r="H494" s="88"/>
      <c r="I494" s="88"/>
      <c r="J494" s="88"/>
      <c r="K494" s="88"/>
      <c r="L494" s="88"/>
      <c r="M494" s="88"/>
      <c r="N494" s="88"/>
      <c r="O494" s="88"/>
      <c r="P494" s="88"/>
      <c r="Q494" s="62"/>
      <c r="R494" s="62"/>
      <c r="S494" s="63"/>
    </row>
    <row r="495">
      <c r="A495" s="90"/>
      <c r="B495" s="90"/>
      <c r="C495" s="67"/>
      <c r="D495" s="61"/>
      <c r="E495" s="62"/>
      <c r="F495" s="87"/>
      <c r="G495" s="64"/>
      <c r="H495" s="88"/>
      <c r="I495" s="88"/>
      <c r="J495" s="88"/>
      <c r="K495" s="88"/>
      <c r="L495" s="88"/>
      <c r="M495" s="88"/>
      <c r="N495" s="88"/>
      <c r="O495" s="88"/>
      <c r="P495" s="88"/>
      <c r="Q495" s="62"/>
      <c r="R495" s="62"/>
      <c r="S495" s="63"/>
    </row>
    <row r="496">
      <c r="A496" s="90"/>
      <c r="B496" s="90"/>
      <c r="C496" s="67"/>
      <c r="D496" s="61"/>
      <c r="E496" s="62"/>
      <c r="F496" s="87"/>
      <c r="G496" s="64"/>
      <c r="H496" s="88"/>
      <c r="I496" s="88"/>
      <c r="J496" s="88"/>
      <c r="K496" s="88"/>
      <c r="L496" s="88"/>
      <c r="M496" s="88"/>
      <c r="N496" s="88"/>
      <c r="O496" s="88"/>
      <c r="P496" s="88"/>
      <c r="Q496" s="62"/>
      <c r="R496" s="62"/>
      <c r="S496" s="63"/>
    </row>
    <row r="497">
      <c r="A497" s="90"/>
      <c r="B497" s="90"/>
      <c r="C497" s="67"/>
      <c r="D497" s="61"/>
      <c r="E497" s="62"/>
      <c r="F497" s="87"/>
      <c r="G497" s="64"/>
      <c r="H497" s="88"/>
      <c r="I497" s="88"/>
      <c r="J497" s="88"/>
      <c r="K497" s="88"/>
      <c r="L497" s="88"/>
      <c r="M497" s="88"/>
      <c r="N497" s="88"/>
      <c r="O497" s="88"/>
      <c r="P497" s="88"/>
      <c r="Q497" s="62"/>
      <c r="R497" s="62"/>
      <c r="S497" s="63"/>
    </row>
    <row r="498">
      <c r="A498" s="90"/>
      <c r="B498" s="90"/>
      <c r="C498" s="67"/>
      <c r="D498" s="61"/>
      <c r="E498" s="62"/>
      <c r="F498" s="87"/>
      <c r="G498" s="64"/>
      <c r="H498" s="88"/>
      <c r="I498" s="88"/>
      <c r="J498" s="88"/>
      <c r="K498" s="88"/>
      <c r="L498" s="88"/>
      <c r="M498" s="88"/>
      <c r="N498" s="88"/>
      <c r="O498" s="88"/>
      <c r="P498" s="88"/>
      <c r="Q498" s="62"/>
      <c r="R498" s="62"/>
      <c r="S498" s="63"/>
    </row>
    <row r="499">
      <c r="A499" s="90"/>
      <c r="B499" s="90"/>
      <c r="C499" s="67"/>
      <c r="D499" s="61"/>
      <c r="E499" s="62"/>
      <c r="F499" s="87"/>
      <c r="G499" s="64"/>
      <c r="H499" s="88"/>
      <c r="I499" s="88"/>
      <c r="J499" s="88"/>
      <c r="K499" s="88"/>
      <c r="L499" s="88"/>
      <c r="M499" s="88"/>
      <c r="N499" s="88"/>
      <c r="O499" s="88"/>
      <c r="P499" s="88"/>
      <c r="Q499" s="62"/>
      <c r="R499" s="62"/>
      <c r="S499" s="63"/>
    </row>
    <row r="500">
      <c r="A500" s="90"/>
      <c r="B500" s="90"/>
      <c r="C500" s="67"/>
      <c r="D500" s="61"/>
      <c r="E500" s="62"/>
      <c r="F500" s="87"/>
      <c r="G500" s="64"/>
      <c r="H500" s="88"/>
      <c r="I500" s="88"/>
      <c r="J500" s="88"/>
      <c r="K500" s="88"/>
      <c r="L500" s="88"/>
      <c r="M500" s="88"/>
      <c r="N500" s="88"/>
      <c r="O500" s="88"/>
      <c r="P500" s="88"/>
      <c r="Q500" s="62"/>
      <c r="R500" s="62"/>
      <c r="S500" s="63"/>
    </row>
    <row r="501">
      <c r="A501" s="90"/>
      <c r="B501" s="90"/>
      <c r="C501" s="67"/>
      <c r="D501" s="61"/>
      <c r="E501" s="62"/>
      <c r="F501" s="87"/>
      <c r="G501" s="64"/>
      <c r="H501" s="88"/>
      <c r="I501" s="88"/>
      <c r="J501" s="88"/>
      <c r="K501" s="88"/>
      <c r="L501" s="88"/>
      <c r="M501" s="88"/>
      <c r="N501" s="88"/>
      <c r="O501" s="88"/>
      <c r="P501" s="88"/>
      <c r="Q501" s="62"/>
      <c r="R501" s="62"/>
      <c r="S501" s="63"/>
    </row>
    <row r="502">
      <c r="A502" s="90"/>
      <c r="B502" s="90"/>
      <c r="C502" s="67"/>
      <c r="D502" s="61"/>
      <c r="E502" s="62"/>
      <c r="F502" s="87"/>
      <c r="G502" s="64"/>
      <c r="H502" s="88"/>
      <c r="I502" s="88"/>
      <c r="J502" s="88"/>
      <c r="K502" s="88"/>
      <c r="L502" s="88"/>
      <c r="M502" s="88"/>
      <c r="N502" s="88"/>
      <c r="O502" s="88"/>
      <c r="P502" s="88"/>
      <c r="Q502" s="62"/>
      <c r="R502" s="62"/>
      <c r="S502" s="63"/>
    </row>
    <row r="503">
      <c r="A503" s="90"/>
      <c r="B503" s="90"/>
      <c r="C503" s="67"/>
      <c r="D503" s="61"/>
      <c r="E503" s="62"/>
      <c r="F503" s="87"/>
      <c r="G503" s="64"/>
      <c r="H503" s="88"/>
      <c r="I503" s="88"/>
      <c r="J503" s="88"/>
      <c r="K503" s="88"/>
      <c r="L503" s="88"/>
      <c r="M503" s="88"/>
      <c r="N503" s="88"/>
      <c r="O503" s="88"/>
      <c r="P503" s="88"/>
      <c r="Q503" s="62"/>
      <c r="R503" s="62"/>
      <c r="S503" s="63"/>
    </row>
    <row r="504">
      <c r="A504" s="90"/>
      <c r="B504" s="90"/>
      <c r="C504" s="67"/>
      <c r="D504" s="61"/>
      <c r="E504" s="62"/>
      <c r="F504" s="87"/>
      <c r="G504" s="64"/>
      <c r="H504" s="88"/>
      <c r="I504" s="88"/>
      <c r="J504" s="88"/>
      <c r="K504" s="88"/>
      <c r="L504" s="88"/>
      <c r="M504" s="88"/>
      <c r="N504" s="88"/>
      <c r="O504" s="88"/>
      <c r="P504" s="88"/>
      <c r="Q504" s="62"/>
      <c r="R504" s="62"/>
      <c r="S504" s="63"/>
    </row>
    <row r="505">
      <c r="A505" s="90"/>
      <c r="B505" s="90"/>
      <c r="C505" s="67"/>
      <c r="D505" s="61"/>
      <c r="E505" s="62"/>
      <c r="F505" s="87"/>
      <c r="G505" s="64"/>
      <c r="H505" s="88"/>
      <c r="I505" s="88"/>
      <c r="J505" s="88"/>
      <c r="K505" s="88"/>
      <c r="L505" s="88"/>
      <c r="M505" s="88"/>
      <c r="N505" s="88"/>
      <c r="O505" s="88"/>
      <c r="P505" s="88"/>
      <c r="Q505" s="62"/>
      <c r="R505" s="62"/>
      <c r="S505" s="63"/>
    </row>
    <row r="506">
      <c r="A506" s="90"/>
      <c r="B506" s="90"/>
      <c r="C506" s="67"/>
      <c r="D506" s="61"/>
      <c r="E506" s="62"/>
      <c r="F506" s="87"/>
      <c r="G506" s="64"/>
      <c r="H506" s="88"/>
      <c r="I506" s="88"/>
      <c r="J506" s="88"/>
      <c r="K506" s="88"/>
      <c r="L506" s="88"/>
      <c r="M506" s="88"/>
      <c r="N506" s="88"/>
      <c r="O506" s="88"/>
      <c r="P506" s="88"/>
      <c r="Q506" s="62"/>
      <c r="R506" s="62"/>
      <c r="S506" s="63"/>
    </row>
    <row r="507">
      <c r="A507" s="90"/>
      <c r="B507" s="90"/>
      <c r="C507" s="67"/>
      <c r="D507" s="61"/>
      <c r="E507" s="62"/>
      <c r="F507" s="87"/>
      <c r="G507" s="64"/>
      <c r="H507" s="88"/>
      <c r="I507" s="88"/>
      <c r="J507" s="88"/>
      <c r="K507" s="88"/>
      <c r="L507" s="88"/>
      <c r="M507" s="88"/>
      <c r="N507" s="88"/>
      <c r="O507" s="88"/>
      <c r="P507" s="88"/>
      <c r="Q507" s="62"/>
      <c r="R507" s="62"/>
      <c r="S507" s="63"/>
    </row>
    <row r="508">
      <c r="A508" s="90"/>
      <c r="B508" s="90"/>
      <c r="C508" s="67"/>
      <c r="D508" s="61"/>
      <c r="E508" s="62"/>
      <c r="F508" s="87"/>
      <c r="G508" s="64"/>
      <c r="H508" s="88"/>
      <c r="I508" s="88"/>
      <c r="J508" s="88"/>
      <c r="K508" s="88"/>
      <c r="L508" s="88"/>
      <c r="M508" s="88"/>
      <c r="N508" s="88"/>
      <c r="O508" s="88"/>
      <c r="P508" s="88"/>
      <c r="Q508" s="62"/>
      <c r="R508" s="62"/>
      <c r="S508" s="63"/>
    </row>
    <row r="509">
      <c r="A509" s="90"/>
      <c r="B509" s="90"/>
      <c r="C509" s="67"/>
      <c r="D509" s="61"/>
      <c r="E509" s="62"/>
      <c r="F509" s="87"/>
      <c r="G509" s="64"/>
      <c r="H509" s="88"/>
      <c r="I509" s="88"/>
      <c r="J509" s="88"/>
      <c r="K509" s="88"/>
      <c r="L509" s="88"/>
      <c r="M509" s="88"/>
      <c r="N509" s="88"/>
      <c r="O509" s="88"/>
      <c r="P509" s="88"/>
      <c r="Q509" s="62"/>
      <c r="R509" s="62"/>
      <c r="S509" s="63"/>
    </row>
    <row r="510">
      <c r="A510" s="90"/>
      <c r="B510" s="90"/>
      <c r="C510" s="67"/>
      <c r="D510" s="61"/>
      <c r="E510" s="62"/>
      <c r="F510" s="87"/>
      <c r="G510" s="64"/>
      <c r="H510" s="88"/>
      <c r="I510" s="88"/>
      <c r="J510" s="88"/>
      <c r="K510" s="88"/>
      <c r="L510" s="88"/>
      <c r="M510" s="88"/>
      <c r="N510" s="88"/>
      <c r="O510" s="88"/>
      <c r="P510" s="88"/>
      <c r="Q510" s="62"/>
      <c r="R510" s="62"/>
      <c r="S510" s="63"/>
    </row>
    <row r="511">
      <c r="A511" s="90"/>
      <c r="B511" s="90"/>
      <c r="C511" s="67"/>
      <c r="D511" s="61"/>
      <c r="E511" s="62"/>
      <c r="F511" s="87"/>
      <c r="G511" s="64"/>
      <c r="H511" s="88"/>
      <c r="I511" s="88"/>
      <c r="J511" s="88"/>
      <c r="K511" s="88"/>
      <c r="L511" s="88"/>
      <c r="M511" s="88"/>
      <c r="N511" s="88"/>
      <c r="O511" s="88"/>
      <c r="P511" s="88"/>
      <c r="Q511" s="62"/>
      <c r="R511" s="62"/>
      <c r="S511" s="63"/>
    </row>
    <row r="512">
      <c r="A512" s="90"/>
      <c r="B512" s="90"/>
      <c r="C512" s="67"/>
      <c r="D512" s="61"/>
      <c r="E512" s="62"/>
      <c r="F512" s="87"/>
      <c r="G512" s="64"/>
      <c r="H512" s="88"/>
      <c r="I512" s="88"/>
      <c r="J512" s="88"/>
      <c r="K512" s="88"/>
      <c r="L512" s="88"/>
      <c r="M512" s="88"/>
      <c r="N512" s="88"/>
      <c r="O512" s="88"/>
      <c r="P512" s="88"/>
      <c r="Q512" s="62"/>
      <c r="R512" s="62"/>
      <c r="S512" s="63"/>
    </row>
    <row r="513">
      <c r="A513" s="90"/>
      <c r="B513" s="90"/>
      <c r="C513" s="67"/>
      <c r="D513" s="61"/>
      <c r="E513" s="62"/>
      <c r="F513" s="87"/>
      <c r="G513" s="64"/>
      <c r="H513" s="88"/>
      <c r="I513" s="88"/>
      <c r="J513" s="88"/>
      <c r="K513" s="88"/>
      <c r="L513" s="88"/>
      <c r="M513" s="88"/>
      <c r="N513" s="88"/>
      <c r="O513" s="88"/>
      <c r="P513" s="88"/>
      <c r="Q513" s="62"/>
      <c r="R513" s="62"/>
      <c r="S513" s="63"/>
    </row>
    <row r="514">
      <c r="A514" s="90"/>
      <c r="B514" s="90"/>
      <c r="C514" s="67"/>
      <c r="D514" s="61"/>
      <c r="E514" s="62"/>
      <c r="F514" s="87"/>
      <c r="G514" s="64"/>
      <c r="H514" s="88"/>
      <c r="I514" s="88"/>
      <c r="J514" s="88"/>
      <c r="K514" s="88"/>
      <c r="L514" s="88"/>
      <c r="M514" s="88"/>
      <c r="N514" s="88"/>
      <c r="O514" s="88"/>
      <c r="P514" s="88"/>
      <c r="Q514" s="62"/>
      <c r="R514" s="62"/>
      <c r="S514" s="63"/>
    </row>
    <row r="515">
      <c r="A515" s="90"/>
      <c r="B515" s="90"/>
      <c r="C515" s="67"/>
      <c r="D515" s="61"/>
      <c r="E515" s="62"/>
      <c r="F515" s="87"/>
      <c r="G515" s="64"/>
      <c r="H515" s="88"/>
      <c r="I515" s="88"/>
      <c r="J515" s="88"/>
      <c r="K515" s="88"/>
      <c r="L515" s="88"/>
      <c r="M515" s="88"/>
      <c r="N515" s="88"/>
      <c r="O515" s="88"/>
      <c r="P515" s="88"/>
      <c r="Q515" s="62"/>
      <c r="R515" s="62"/>
      <c r="S515" s="63"/>
    </row>
    <row r="516">
      <c r="A516" s="90"/>
      <c r="B516" s="90"/>
      <c r="C516" s="67"/>
      <c r="D516" s="61"/>
      <c r="E516" s="62"/>
      <c r="F516" s="87"/>
      <c r="G516" s="64"/>
      <c r="H516" s="88"/>
      <c r="I516" s="88"/>
      <c r="J516" s="88"/>
      <c r="K516" s="88"/>
      <c r="L516" s="88"/>
      <c r="M516" s="88"/>
      <c r="N516" s="88"/>
      <c r="O516" s="88"/>
      <c r="P516" s="88"/>
      <c r="Q516" s="62"/>
      <c r="R516" s="62"/>
      <c r="S516" s="63"/>
    </row>
    <row r="517">
      <c r="A517" s="90"/>
      <c r="B517" s="90"/>
      <c r="C517" s="67"/>
      <c r="D517" s="61"/>
      <c r="E517" s="62"/>
      <c r="F517" s="87"/>
      <c r="G517" s="64"/>
      <c r="H517" s="88"/>
      <c r="I517" s="88"/>
      <c r="J517" s="88"/>
      <c r="K517" s="88"/>
      <c r="L517" s="88"/>
      <c r="M517" s="88"/>
      <c r="N517" s="88"/>
      <c r="O517" s="88"/>
      <c r="P517" s="88"/>
      <c r="Q517" s="62"/>
      <c r="R517" s="62"/>
      <c r="S517" s="63"/>
    </row>
    <row r="518">
      <c r="A518" s="90"/>
      <c r="B518" s="90"/>
      <c r="C518" s="67"/>
      <c r="D518" s="61"/>
      <c r="E518" s="62"/>
      <c r="F518" s="87"/>
      <c r="G518" s="64"/>
      <c r="H518" s="88"/>
      <c r="I518" s="88"/>
      <c r="J518" s="88"/>
      <c r="K518" s="88"/>
      <c r="L518" s="88"/>
      <c r="M518" s="88"/>
      <c r="N518" s="88"/>
      <c r="O518" s="88"/>
      <c r="P518" s="88"/>
      <c r="Q518" s="62"/>
      <c r="R518" s="62"/>
      <c r="S518" s="63"/>
    </row>
    <row r="519">
      <c r="A519" s="90"/>
      <c r="B519" s="90"/>
      <c r="C519" s="67"/>
      <c r="D519" s="61"/>
      <c r="E519" s="62"/>
      <c r="F519" s="87"/>
      <c r="G519" s="64"/>
      <c r="H519" s="88"/>
      <c r="I519" s="88"/>
      <c r="J519" s="88"/>
      <c r="K519" s="88"/>
      <c r="L519" s="88"/>
      <c r="M519" s="88"/>
      <c r="N519" s="88"/>
      <c r="O519" s="88"/>
      <c r="P519" s="88"/>
      <c r="Q519" s="62"/>
      <c r="R519" s="62"/>
      <c r="S519" s="63"/>
    </row>
    <row r="520">
      <c r="A520" s="90"/>
      <c r="B520" s="90"/>
      <c r="C520" s="67"/>
      <c r="D520" s="61"/>
      <c r="E520" s="62"/>
      <c r="F520" s="87"/>
      <c r="G520" s="64"/>
      <c r="H520" s="88"/>
      <c r="I520" s="88"/>
      <c r="J520" s="88"/>
      <c r="K520" s="88"/>
      <c r="L520" s="88"/>
      <c r="M520" s="88"/>
      <c r="N520" s="88"/>
      <c r="O520" s="88"/>
      <c r="P520" s="88"/>
      <c r="Q520" s="62"/>
      <c r="R520" s="62"/>
      <c r="S520" s="63"/>
    </row>
    <row r="521">
      <c r="A521" s="90"/>
      <c r="B521" s="90"/>
      <c r="C521" s="67"/>
      <c r="D521" s="61"/>
      <c r="E521" s="62"/>
      <c r="F521" s="87"/>
      <c r="G521" s="64"/>
      <c r="H521" s="88"/>
      <c r="I521" s="88"/>
      <c r="J521" s="88"/>
      <c r="K521" s="88"/>
      <c r="L521" s="88"/>
      <c r="M521" s="88"/>
      <c r="N521" s="88"/>
      <c r="O521" s="88"/>
      <c r="P521" s="88"/>
      <c r="Q521" s="62"/>
      <c r="R521" s="62"/>
      <c r="S521" s="63"/>
    </row>
    <row r="522">
      <c r="A522" s="90"/>
      <c r="B522" s="90"/>
      <c r="C522" s="67"/>
      <c r="D522" s="61"/>
      <c r="E522" s="62"/>
      <c r="F522" s="87"/>
      <c r="G522" s="64"/>
      <c r="H522" s="88"/>
      <c r="I522" s="88"/>
      <c r="J522" s="88"/>
      <c r="K522" s="88"/>
      <c r="L522" s="88"/>
      <c r="M522" s="88"/>
      <c r="N522" s="88"/>
      <c r="O522" s="88"/>
      <c r="P522" s="88"/>
      <c r="Q522" s="62"/>
      <c r="R522" s="62"/>
      <c r="S522" s="63"/>
    </row>
    <row r="523">
      <c r="A523" s="90"/>
      <c r="B523" s="90"/>
      <c r="C523" s="67"/>
      <c r="D523" s="61"/>
      <c r="E523" s="62"/>
      <c r="F523" s="87"/>
      <c r="G523" s="64"/>
      <c r="H523" s="88"/>
      <c r="I523" s="88"/>
      <c r="J523" s="88"/>
      <c r="K523" s="88"/>
      <c r="L523" s="88"/>
      <c r="M523" s="88"/>
      <c r="N523" s="88"/>
      <c r="O523" s="88"/>
      <c r="P523" s="88"/>
      <c r="Q523" s="62"/>
      <c r="R523" s="62"/>
      <c r="S523" s="63"/>
    </row>
    <row r="524">
      <c r="A524" s="90"/>
      <c r="B524" s="90"/>
      <c r="C524" s="67"/>
      <c r="D524" s="61"/>
      <c r="E524" s="62"/>
      <c r="F524" s="87"/>
      <c r="G524" s="64"/>
      <c r="H524" s="88"/>
      <c r="I524" s="88"/>
      <c r="J524" s="88"/>
      <c r="K524" s="88"/>
      <c r="L524" s="88"/>
      <c r="M524" s="88"/>
      <c r="N524" s="88"/>
      <c r="O524" s="88"/>
      <c r="P524" s="88"/>
      <c r="Q524" s="62"/>
      <c r="R524" s="62"/>
      <c r="S524" s="63"/>
    </row>
    <row r="525">
      <c r="A525" s="90"/>
      <c r="B525" s="90"/>
      <c r="C525" s="67"/>
      <c r="D525" s="61"/>
      <c r="E525" s="62"/>
      <c r="F525" s="87"/>
      <c r="G525" s="64"/>
      <c r="H525" s="88"/>
      <c r="I525" s="88"/>
      <c r="J525" s="88"/>
      <c r="K525" s="88"/>
      <c r="L525" s="88"/>
      <c r="M525" s="88"/>
      <c r="N525" s="88"/>
      <c r="O525" s="88"/>
      <c r="P525" s="88"/>
      <c r="Q525" s="62"/>
      <c r="R525" s="62"/>
      <c r="S525" s="63"/>
    </row>
    <row r="526">
      <c r="A526" s="90"/>
      <c r="B526" s="90"/>
      <c r="C526" s="67"/>
      <c r="D526" s="61"/>
      <c r="E526" s="62"/>
      <c r="F526" s="87"/>
      <c r="G526" s="64"/>
      <c r="H526" s="88"/>
      <c r="I526" s="88"/>
      <c r="J526" s="88"/>
      <c r="K526" s="88"/>
      <c r="L526" s="88"/>
      <c r="M526" s="88"/>
      <c r="N526" s="88"/>
      <c r="O526" s="88"/>
      <c r="P526" s="88"/>
      <c r="Q526" s="62"/>
      <c r="R526" s="62"/>
      <c r="S526" s="63"/>
    </row>
    <row r="527">
      <c r="A527" s="90"/>
      <c r="B527" s="90"/>
      <c r="C527" s="67"/>
      <c r="D527" s="61"/>
      <c r="E527" s="62"/>
      <c r="F527" s="87"/>
      <c r="G527" s="64"/>
      <c r="H527" s="88"/>
      <c r="I527" s="88"/>
      <c r="J527" s="88"/>
      <c r="K527" s="88"/>
      <c r="L527" s="88"/>
      <c r="M527" s="88"/>
      <c r="N527" s="88"/>
      <c r="O527" s="88"/>
      <c r="P527" s="88"/>
      <c r="Q527" s="62"/>
      <c r="R527" s="62"/>
      <c r="S527" s="63"/>
    </row>
    <row r="528">
      <c r="A528" s="90"/>
      <c r="B528" s="90"/>
      <c r="C528" s="67"/>
      <c r="D528" s="61"/>
      <c r="E528" s="62"/>
      <c r="F528" s="87"/>
      <c r="G528" s="64"/>
      <c r="H528" s="88"/>
      <c r="I528" s="88"/>
      <c r="J528" s="88"/>
      <c r="K528" s="88"/>
      <c r="L528" s="88"/>
      <c r="M528" s="88"/>
      <c r="N528" s="88"/>
      <c r="O528" s="88"/>
      <c r="P528" s="88"/>
      <c r="Q528" s="62"/>
      <c r="R528" s="62"/>
      <c r="S528" s="63"/>
    </row>
    <row r="529">
      <c r="A529" s="90"/>
      <c r="B529" s="90"/>
      <c r="C529" s="67"/>
      <c r="D529" s="61"/>
      <c r="E529" s="62"/>
      <c r="F529" s="87"/>
      <c r="G529" s="64"/>
      <c r="H529" s="88"/>
      <c r="I529" s="88"/>
      <c r="J529" s="88"/>
      <c r="K529" s="88"/>
      <c r="L529" s="88"/>
      <c r="M529" s="88"/>
      <c r="N529" s="88"/>
      <c r="O529" s="88"/>
      <c r="P529" s="88"/>
      <c r="Q529" s="62"/>
      <c r="R529" s="62"/>
      <c r="S529" s="63"/>
    </row>
    <row r="530">
      <c r="A530" s="90"/>
      <c r="B530" s="90"/>
      <c r="C530" s="67"/>
      <c r="D530" s="61"/>
      <c r="E530" s="62"/>
      <c r="F530" s="87"/>
      <c r="G530" s="64"/>
      <c r="H530" s="88"/>
      <c r="I530" s="88"/>
      <c r="J530" s="88"/>
      <c r="K530" s="88"/>
      <c r="L530" s="88"/>
      <c r="M530" s="88"/>
      <c r="N530" s="88"/>
      <c r="O530" s="88"/>
      <c r="P530" s="88"/>
      <c r="Q530" s="62"/>
      <c r="R530" s="62"/>
      <c r="S530" s="63"/>
    </row>
    <row r="531">
      <c r="A531" s="90"/>
      <c r="B531" s="90"/>
      <c r="C531" s="67"/>
      <c r="D531" s="61"/>
      <c r="E531" s="62"/>
      <c r="F531" s="87"/>
      <c r="G531" s="64"/>
      <c r="H531" s="88"/>
      <c r="I531" s="88"/>
      <c r="J531" s="88"/>
      <c r="K531" s="88"/>
      <c r="L531" s="88"/>
      <c r="M531" s="88"/>
      <c r="N531" s="88"/>
      <c r="O531" s="88"/>
      <c r="P531" s="88"/>
      <c r="Q531" s="62"/>
      <c r="R531" s="62"/>
      <c r="S531" s="63"/>
    </row>
    <row r="532">
      <c r="A532" s="90"/>
      <c r="B532" s="90"/>
      <c r="C532" s="67"/>
      <c r="D532" s="61"/>
      <c r="E532" s="62"/>
      <c r="F532" s="87"/>
      <c r="G532" s="64"/>
      <c r="H532" s="88"/>
      <c r="I532" s="88"/>
      <c r="J532" s="88"/>
      <c r="K532" s="88"/>
      <c r="L532" s="88"/>
      <c r="M532" s="88"/>
      <c r="N532" s="88"/>
      <c r="O532" s="88"/>
      <c r="P532" s="88"/>
      <c r="Q532" s="62"/>
      <c r="R532" s="62"/>
      <c r="S532" s="63"/>
    </row>
    <row r="533">
      <c r="A533" s="90"/>
      <c r="B533" s="90"/>
      <c r="C533" s="67"/>
      <c r="D533" s="61"/>
      <c r="E533" s="62"/>
      <c r="F533" s="87"/>
      <c r="G533" s="64"/>
      <c r="H533" s="88"/>
      <c r="I533" s="88"/>
      <c r="J533" s="88"/>
      <c r="K533" s="88"/>
      <c r="L533" s="88"/>
      <c r="M533" s="88"/>
      <c r="N533" s="88"/>
      <c r="O533" s="88"/>
      <c r="P533" s="88"/>
      <c r="Q533" s="62"/>
      <c r="R533" s="62"/>
      <c r="S533" s="63"/>
    </row>
    <row r="534">
      <c r="A534" s="90"/>
      <c r="B534" s="90"/>
      <c r="C534" s="67"/>
      <c r="D534" s="61"/>
      <c r="E534" s="62"/>
      <c r="F534" s="87"/>
      <c r="G534" s="64"/>
      <c r="H534" s="88"/>
      <c r="I534" s="88"/>
      <c r="J534" s="88"/>
      <c r="K534" s="88"/>
      <c r="L534" s="88"/>
      <c r="M534" s="88"/>
      <c r="N534" s="88"/>
      <c r="O534" s="88"/>
      <c r="P534" s="88"/>
      <c r="Q534" s="62"/>
      <c r="R534" s="62"/>
      <c r="S534" s="63"/>
    </row>
    <row r="535">
      <c r="A535" s="90"/>
      <c r="B535" s="90"/>
      <c r="C535" s="67"/>
      <c r="D535" s="61"/>
      <c r="E535" s="62"/>
      <c r="F535" s="87"/>
      <c r="G535" s="64"/>
      <c r="H535" s="88"/>
      <c r="I535" s="88"/>
      <c r="J535" s="88"/>
      <c r="K535" s="88"/>
      <c r="L535" s="88"/>
      <c r="M535" s="88"/>
      <c r="N535" s="88"/>
      <c r="O535" s="88"/>
      <c r="P535" s="88"/>
      <c r="Q535" s="62"/>
      <c r="R535" s="62"/>
      <c r="S535" s="63"/>
    </row>
    <row r="536">
      <c r="A536" s="90"/>
      <c r="B536" s="90"/>
      <c r="C536" s="67"/>
      <c r="D536" s="61"/>
      <c r="E536" s="62"/>
      <c r="F536" s="87"/>
      <c r="G536" s="64"/>
      <c r="H536" s="88"/>
      <c r="I536" s="88"/>
      <c r="J536" s="88"/>
      <c r="K536" s="88"/>
      <c r="L536" s="88"/>
      <c r="M536" s="88"/>
      <c r="N536" s="88"/>
      <c r="O536" s="88"/>
      <c r="P536" s="88"/>
      <c r="Q536" s="62"/>
      <c r="R536" s="62"/>
      <c r="S536" s="63"/>
    </row>
    <row r="537">
      <c r="A537" s="90"/>
      <c r="B537" s="90"/>
      <c r="C537" s="67"/>
      <c r="D537" s="61"/>
      <c r="E537" s="62"/>
      <c r="F537" s="87"/>
      <c r="G537" s="64"/>
      <c r="H537" s="88"/>
      <c r="I537" s="88"/>
      <c r="J537" s="88"/>
      <c r="K537" s="88"/>
      <c r="L537" s="88"/>
      <c r="M537" s="88"/>
      <c r="N537" s="88"/>
      <c r="O537" s="88"/>
      <c r="P537" s="88"/>
      <c r="Q537" s="62"/>
      <c r="R537" s="62"/>
      <c r="S537" s="63"/>
    </row>
    <row r="538">
      <c r="A538" s="90"/>
      <c r="B538" s="90"/>
      <c r="C538" s="67"/>
      <c r="D538" s="61"/>
      <c r="E538" s="62"/>
      <c r="F538" s="87"/>
      <c r="G538" s="64"/>
      <c r="H538" s="88"/>
      <c r="I538" s="88"/>
      <c r="J538" s="88"/>
      <c r="K538" s="88"/>
      <c r="L538" s="88"/>
      <c r="M538" s="88"/>
      <c r="N538" s="88"/>
      <c r="O538" s="88"/>
      <c r="P538" s="88"/>
      <c r="Q538" s="62"/>
      <c r="R538" s="62"/>
      <c r="S538" s="63"/>
    </row>
    <row r="539">
      <c r="A539" s="90"/>
      <c r="B539" s="90"/>
      <c r="C539" s="67"/>
      <c r="D539" s="61"/>
      <c r="E539" s="62"/>
      <c r="F539" s="87"/>
      <c r="G539" s="64"/>
      <c r="H539" s="88"/>
      <c r="I539" s="88"/>
      <c r="J539" s="88"/>
      <c r="K539" s="88"/>
      <c r="L539" s="88"/>
      <c r="M539" s="88"/>
      <c r="N539" s="88"/>
      <c r="O539" s="88"/>
      <c r="P539" s="88"/>
      <c r="Q539" s="62"/>
      <c r="R539" s="62"/>
      <c r="S539" s="63"/>
    </row>
    <row r="540">
      <c r="A540" s="90"/>
      <c r="B540" s="90"/>
      <c r="C540" s="67"/>
      <c r="D540" s="61"/>
      <c r="E540" s="62"/>
      <c r="F540" s="87"/>
      <c r="G540" s="64"/>
      <c r="H540" s="88"/>
      <c r="I540" s="88"/>
      <c r="J540" s="88"/>
      <c r="K540" s="88"/>
      <c r="L540" s="88"/>
      <c r="M540" s="88"/>
      <c r="N540" s="88"/>
      <c r="O540" s="88"/>
      <c r="P540" s="88"/>
      <c r="Q540" s="62"/>
      <c r="R540" s="62"/>
      <c r="S540" s="63"/>
    </row>
    <row r="541">
      <c r="A541" s="90"/>
      <c r="B541" s="90"/>
      <c r="C541" s="67"/>
      <c r="D541" s="61"/>
      <c r="E541" s="62"/>
      <c r="F541" s="87"/>
      <c r="G541" s="64"/>
      <c r="H541" s="88"/>
      <c r="I541" s="88"/>
      <c r="J541" s="88"/>
      <c r="K541" s="88"/>
      <c r="L541" s="88"/>
      <c r="M541" s="88"/>
      <c r="N541" s="88"/>
      <c r="O541" s="88"/>
      <c r="P541" s="88"/>
      <c r="Q541" s="62"/>
      <c r="R541" s="62"/>
      <c r="S541" s="63"/>
    </row>
    <row r="542">
      <c r="A542" s="90"/>
      <c r="B542" s="90"/>
      <c r="C542" s="67"/>
      <c r="D542" s="61"/>
      <c r="E542" s="62"/>
      <c r="F542" s="87"/>
      <c r="G542" s="64"/>
      <c r="H542" s="88"/>
      <c r="I542" s="88"/>
      <c r="J542" s="88"/>
      <c r="K542" s="88"/>
      <c r="L542" s="88"/>
      <c r="M542" s="88"/>
      <c r="N542" s="88"/>
      <c r="O542" s="88"/>
      <c r="P542" s="88"/>
      <c r="Q542" s="62"/>
      <c r="R542" s="62"/>
      <c r="S542" s="63"/>
    </row>
    <row r="543">
      <c r="A543" s="90"/>
      <c r="B543" s="90"/>
      <c r="C543" s="67"/>
      <c r="D543" s="61"/>
      <c r="E543" s="62"/>
      <c r="F543" s="87"/>
      <c r="G543" s="64"/>
      <c r="H543" s="88"/>
      <c r="I543" s="88"/>
      <c r="J543" s="88"/>
      <c r="K543" s="88"/>
      <c r="L543" s="88"/>
      <c r="M543" s="88"/>
      <c r="N543" s="88"/>
      <c r="O543" s="88"/>
      <c r="P543" s="88"/>
      <c r="Q543" s="62"/>
      <c r="R543" s="62"/>
      <c r="S543" s="63"/>
    </row>
    <row r="544">
      <c r="A544" s="90"/>
      <c r="B544" s="90"/>
      <c r="C544" s="67"/>
      <c r="D544" s="61"/>
      <c r="E544" s="62"/>
      <c r="F544" s="87"/>
      <c r="G544" s="64"/>
      <c r="H544" s="88"/>
      <c r="I544" s="88"/>
      <c r="J544" s="88"/>
      <c r="K544" s="88"/>
      <c r="L544" s="88"/>
      <c r="M544" s="88"/>
      <c r="N544" s="88"/>
      <c r="O544" s="88"/>
      <c r="P544" s="88"/>
      <c r="Q544" s="62"/>
      <c r="R544" s="62"/>
      <c r="S544" s="63"/>
    </row>
    <row r="545">
      <c r="A545" s="90"/>
      <c r="B545" s="90"/>
      <c r="C545" s="67"/>
      <c r="D545" s="61"/>
      <c r="E545" s="62"/>
      <c r="F545" s="87"/>
      <c r="G545" s="64"/>
      <c r="H545" s="88"/>
      <c r="I545" s="88"/>
      <c r="J545" s="88"/>
      <c r="K545" s="88"/>
      <c r="L545" s="88"/>
      <c r="M545" s="88"/>
      <c r="N545" s="88"/>
      <c r="O545" s="88"/>
      <c r="P545" s="88"/>
      <c r="Q545" s="62"/>
      <c r="R545" s="62"/>
      <c r="S545" s="63"/>
    </row>
    <row r="546">
      <c r="A546" s="90"/>
      <c r="B546" s="90"/>
      <c r="C546" s="67"/>
      <c r="D546" s="61"/>
      <c r="E546" s="62"/>
      <c r="F546" s="87"/>
      <c r="G546" s="64"/>
      <c r="H546" s="88"/>
      <c r="I546" s="88"/>
      <c r="J546" s="88"/>
      <c r="K546" s="88"/>
      <c r="L546" s="88"/>
      <c r="M546" s="88"/>
      <c r="N546" s="88"/>
      <c r="O546" s="88"/>
      <c r="P546" s="88"/>
      <c r="Q546" s="62"/>
      <c r="R546" s="62"/>
      <c r="S546" s="63"/>
    </row>
    <row r="547">
      <c r="A547" s="90"/>
      <c r="B547" s="90"/>
      <c r="C547" s="67"/>
      <c r="D547" s="61"/>
      <c r="E547" s="62"/>
      <c r="F547" s="87"/>
      <c r="G547" s="64"/>
      <c r="H547" s="88"/>
      <c r="I547" s="88"/>
      <c r="J547" s="88"/>
      <c r="K547" s="88"/>
      <c r="L547" s="88"/>
      <c r="M547" s="88"/>
      <c r="N547" s="88"/>
      <c r="O547" s="88"/>
      <c r="P547" s="88"/>
      <c r="Q547" s="62"/>
      <c r="R547" s="62"/>
      <c r="S547" s="63"/>
    </row>
    <row r="548">
      <c r="A548" s="90"/>
      <c r="B548" s="90"/>
      <c r="C548" s="67"/>
      <c r="D548" s="61"/>
      <c r="E548" s="62"/>
      <c r="F548" s="87"/>
      <c r="G548" s="64"/>
      <c r="H548" s="88"/>
      <c r="I548" s="88"/>
      <c r="J548" s="88"/>
      <c r="K548" s="88"/>
      <c r="L548" s="88"/>
      <c r="M548" s="88"/>
      <c r="N548" s="88"/>
      <c r="O548" s="88"/>
      <c r="P548" s="88"/>
      <c r="Q548" s="62"/>
      <c r="R548" s="62"/>
      <c r="S548" s="63"/>
    </row>
    <row r="549">
      <c r="A549" s="90"/>
      <c r="B549" s="90"/>
      <c r="C549" s="67"/>
      <c r="D549" s="61"/>
      <c r="E549" s="62"/>
      <c r="F549" s="87"/>
      <c r="G549" s="64"/>
      <c r="H549" s="88"/>
      <c r="I549" s="88"/>
      <c r="J549" s="88"/>
      <c r="K549" s="88"/>
      <c r="L549" s="88"/>
      <c r="M549" s="88"/>
      <c r="N549" s="88"/>
      <c r="O549" s="88"/>
      <c r="P549" s="88"/>
      <c r="Q549" s="62"/>
      <c r="R549" s="62"/>
      <c r="S549" s="63"/>
    </row>
    <row r="550">
      <c r="A550" s="90"/>
      <c r="B550" s="90"/>
      <c r="C550" s="67"/>
      <c r="D550" s="61"/>
      <c r="E550" s="62"/>
      <c r="F550" s="87"/>
      <c r="G550" s="64"/>
      <c r="H550" s="88"/>
      <c r="I550" s="88"/>
      <c r="J550" s="88"/>
      <c r="K550" s="88"/>
      <c r="L550" s="88"/>
      <c r="M550" s="88"/>
      <c r="N550" s="88"/>
      <c r="O550" s="88"/>
      <c r="P550" s="88"/>
      <c r="Q550" s="62"/>
      <c r="R550" s="62"/>
      <c r="S550" s="63"/>
    </row>
    <row r="551">
      <c r="A551" s="90"/>
      <c r="B551" s="90"/>
      <c r="C551" s="67"/>
      <c r="D551" s="61"/>
      <c r="E551" s="62"/>
      <c r="F551" s="87"/>
      <c r="G551" s="64"/>
      <c r="H551" s="88"/>
      <c r="I551" s="88"/>
      <c r="J551" s="88"/>
      <c r="K551" s="88"/>
      <c r="L551" s="88"/>
      <c r="M551" s="88"/>
      <c r="N551" s="88"/>
      <c r="O551" s="88"/>
      <c r="P551" s="88"/>
      <c r="Q551" s="62"/>
      <c r="R551" s="62"/>
      <c r="S551" s="63"/>
    </row>
    <row r="552">
      <c r="A552" s="90"/>
      <c r="B552" s="90"/>
      <c r="C552" s="67"/>
      <c r="D552" s="61"/>
      <c r="E552" s="62"/>
      <c r="F552" s="87"/>
      <c r="G552" s="64"/>
      <c r="H552" s="88"/>
      <c r="I552" s="88"/>
      <c r="J552" s="88"/>
      <c r="K552" s="88"/>
      <c r="L552" s="88"/>
      <c r="M552" s="88"/>
      <c r="N552" s="88"/>
      <c r="O552" s="88"/>
      <c r="P552" s="88"/>
      <c r="Q552" s="62"/>
      <c r="R552" s="62"/>
      <c r="S552" s="63"/>
    </row>
    <row r="553">
      <c r="A553" s="90"/>
      <c r="B553" s="90"/>
      <c r="C553" s="67"/>
      <c r="D553" s="61"/>
      <c r="E553" s="62"/>
      <c r="F553" s="87"/>
      <c r="G553" s="64"/>
      <c r="H553" s="88"/>
      <c r="I553" s="88"/>
      <c r="J553" s="88"/>
      <c r="K553" s="88"/>
      <c r="L553" s="88"/>
      <c r="M553" s="88"/>
      <c r="N553" s="88"/>
      <c r="O553" s="88"/>
      <c r="P553" s="88"/>
      <c r="Q553" s="62"/>
      <c r="R553" s="62"/>
      <c r="S553" s="63"/>
    </row>
    <row r="554">
      <c r="A554" s="90"/>
      <c r="B554" s="90"/>
      <c r="C554" s="67"/>
      <c r="D554" s="61"/>
      <c r="E554" s="62"/>
      <c r="F554" s="87"/>
      <c r="G554" s="64"/>
      <c r="H554" s="88"/>
      <c r="I554" s="88"/>
      <c r="J554" s="88"/>
      <c r="K554" s="88"/>
      <c r="L554" s="88"/>
      <c r="M554" s="88"/>
      <c r="N554" s="88"/>
      <c r="O554" s="88"/>
      <c r="P554" s="88"/>
      <c r="Q554" s="62"/>
      <c r="R554" s="62"/>
      <c r="S554" s="63"/>
    </row>
    <row r="555">
      <c r="A555" s="90"/>
      <c r="B555" s="90"/>
      <c r="C555" s="67"/>
      <c r="D555" s="61"/>
      <c r="E555" s="62"/>
      <c r="F555" s="87"/>
      <c r="G555" s="64"/>
      <c r="H555" s="88"/>
      <c r="I555" s="88"/>
      <c r="J555" s="88"/>
      <c r="K555" s="88"/>
      <c r="L555" s="88"/>
      <c r="M555" s="88"/>
      <c r="N555" s="88"/>
      <c r="O555" s="88"/>
      <c r="P555" s="88"/>
      <c r="Q555" s="62"/>
      <c r="R555" s="62"/>
      <c r="S555" s="63"/>
    </row>
    <row r="556">
      <c r="A556" s="90"/>
      <c r="B556" s="90"/>
      <c r="C556" s="67"/>
      <c r="D556" s="61"/>
      <c r="E556" s="62"/>
      <c r="F556" s="87"/>
      <c r="G556" s="64"/>
      <c r="H556" s="88"/>
      <c r="I556" s="88"/>
      <c r="J556" s="88"/>
      <c r="K556" s="88"/>
      <c r="L556" s="88"/>
      <c r="M556" s="88"/>
      <c r="N556" s="88"/>
      <c r="O556" s="88"/>
      <c r="P556" s="88"/>
      <c r="Q556" s="62"/>
      <c r="R556" s="62"/>
      <c r="S556" s="63"/>
    </row>
    <row r="557">
      <c r="A557" s="90"/>
      <c r="B557" s="90"/>
      <c r="C557" s="67"/>
      <c r="D557" s="61"/>
      <c r="E557" s="62"/>
      <c r="F557" s="87"/>
      <c r="G557" s="64"/>
      <c r="H557" s="88"/>
      <c r="I557" s="88"/>
      <c r="J557" s="88"/>
      <c r="K557" s="88"/>
      <c r="L557" s="88"/>
      <c r="M557" s="88"/>
      <c r="N557" s="88"/>
      <c r="O557" s="88"/>
      <c r="P557" s="88"/>
      <c r="Q557" s="62"/>
      <c r="R557" s="62"/>
      <c r="S557" s="63"/>
    </row>
    <row r="558">
      <c r="A558" s="90"/>
      <c r="B558" s="90"/>
      <c r="C558" s="67"/>
      <c r="D558" s="61"/>
      <c r="E558" s="62"/>
      <c r="F558" s="87"/>
      <c r="G558" s="64"/>
      <c r="H558" s="88"/>
      <c r="I558" s="88"/>
      <c r="J558" s="88"/>
      <c r="K558" s="88"/>
      <c r="L558" s="88"/>
      <c r="M558" s="88"/>
      <c r="N558" s="88"/>
      <c r="O558" s="88"/>
      <c r="P558" s="88"/>
      <c r="Q558" s="62"/>
      <c r="R558" s="62"/>
      <c r="S558" s="63"/>
    </row>
    <row r="559">
      <c r="A559" s="90"/>
      <c r="B559" s="90"/>
      <c r="C559" s="67"/>
      <c r="D559" s="61"/>
      <c r="E559" s="62"/>
      <c r="F559" s="87"/>
      <c r="G559" s="64"/>
      <c r="H559" s="88"/>
      <c r="I559" s="88"/>
      <c r="J559" s="88"/>
      <c r="K559" s="88"/>
      <c r="L559" s="88"/>
      <c r="M559" s="88"/>
      <c r="N559" s="88"/>
      <c r="O559" s="88"/>
      <c r="P559" s="88"/>
      <c r="Q559" s="62"/>
      <c r="R559" s="62"/>
      <c r="S559" s="63"/>
    </row>
    <row r="560">
      <c r="A560" s="90"/>
      <c r="B560" s="90"/>
      <c r="C560" s="67"/>
      <c r="D560" s="61"/>
      <c r="E560" s="62"/>
      <c r="F560" s="87"/>
      <c r="G560" s="64"/>
      <c r="H560" s="88"/>
      <c r="I560" s="88"/>
      <c r="J560" s="88"/>
      <c r="K560" s="88"/>
      <c r="L560" s="88"/>
      <c r="M560" s="88"/>
      <c r="N560" s="88"/>
      <c r="O560" s="88"/>
      <c r="P560" s="88"/>
      <c r="Q560" s="62"/>
      <c r="R560" s="62"/>
      <c r="S560" s="63"/>
    </row>
    <row r="561">
      <c r="A561" s="90"/>
      <c r="B561" s="90"/>
      <c r="C561" s="67"/>
      <c r="D561" s="61"/>
      <c r="E561" s="62"/>
      <c r="F561" s="87"/>
      <c r="G561" s="64"/>
      <c r="H561" s="88"/>
      <c r="I561" s="88"/>
      <c r="J561" s="88"/>
      <c r="K561" s="88"/>
      <c r="L561" s="88"/>
      <c r="M561" s="88"/>
      <c r="N561" s="88"/>
      <c r="O561" s="88"/>
      <c r="P561" s="88"/>
      <c r="Q561" s="62"/>
      <c r="R561" s="62"/>
      <c r="S561" s="63"/>
    </row>
    <row r="562">
      <c r="A562" s="90"/>
      <c r="B562" s="90"/>
      <c r="C562" s="67"/>
      <c r="D562" s="61"/>
      <c r="E562" s="62"/>
      <c r="F562" s="87"/>
      <c r="G562" s="64"/>
      <c r="H562" s="88"/>
      <c r="I562" s="88"/>
      <c r="J562" s="88"/>
      <c r="K562" s="88"/>
      <c r="L562" s="88"/>
      <c r="M562" s="88"/>
      <c r="N562" s="88"/>
      <c r="O562" s="88"/>
      <c r="P562" s="88"/>
      <c r="Q562" s="62"/>
      <c r="R562" s="62"/>
      <c r="S562" s="63"/>
    </row>
    <row r="563">
      <c r="A563" s="90"/>
      <c r="B563" s="90"/>
      <c r="C563" s="67"/>
      <c r="D563" s="61"/>
      <c r="E563" s="62"/>
      <c r="F563" s="87"/>
      <c r="G563" s="64"/>
      <c r="H563" s="88"/>
      <c r="I563" s="88"/>
      <c r="J563" s="88"/>
      <c r="K563" s="88"/>
      <c r="L563" s="88"/>
      <c r="M563" s="88"/>
      <c r="N563" s="88"/>
      <c r="O563" s="88"/>
      <c r="P563" s="88"/>
      <c r="Q563" s="62"/>
      <c r="R563" s="62"/>
      <c r="S563" s="63"/>
    </row>
    <row r="564">
      <c r="A564" s="90"/>
      <c r="B564" s="90"/>
      <c r="C564" s="67"/>
      <c r="D564" s="61"/>
      <c r="E564" s="62"/>
      <c r="F564" s="87"/>
      <c r="G564" s="64"/>
      <c r="H564" s="88"/>
      <c r="I564" s="88"/>
      <c r="J564" s="88"/>
      <c r="K564" s="88"/>
      <c r="L564" s="88"/>
      <c r="M564" s="88"/>
      <c r="N564" s="88"/>
      <c r="O564" s="88"/>
      <c r="P564" s="88"/>
      <c r="Q564" s="62"/>
      <c r="R564" s="62"/>
      <c r="S564" s="63"/>
    </row>
    <row r="565">
      <c r="A565" s="90"/>
      <c r="B565" s="90"/>
      <c r="C565" s="67"/>
      <c r="D565" s="61"/>
      <c r="E565" s="62"/>
      <c r="F565" s="87"/>
      <c r="G565" s="64"/>
      <c r="H565" s="88"/>
      <c r="I565" s="88"/>
      <c r="J565" s="88"/>
      <c r="K565" s="88"/>
      <c r="L565" s="88"/>
      <c r="M565" s="88"/>
      <c r="N565" s="88"/>
      <c r="O565" s="88"/>
      <c r="P565" s="88"/>
      <c r="Q565" s="62"/>
      <c r="R565" s="62"/>
      <c r="S565" s="63"/>
    </row>
    <row r="566">
      <c r="A566" s="90"/>
      <c r="B566" s="90"/>
      <c r="C566" s="67"/>
      <c r="D566" s="61"/>
      <c r="E566" s="62"/>
      <c r="F566" s="87"/>
      <c r="G566" s="64"/>
      <c r="H566" s="88"/>
      <c r="I566" s="88"/>
      <c r="J566" s="88"/>
      <c r="K566" s="88"/>
      <c r="L566" s="88"/>
      <c r="M566" s="88"/>
      <c r="N566" s="88"/>
      <c r="O566" s="88"/>
      <c r="P566" s="88"/>
      <c r="Q566" s="62"/>
      <c r="R566" s="62"/>
      <c r="S566" s="63"/>
    </row>
    <row r="567">
      <c r="A567" s="90"/>
      <c r="B567" s="90"/>
      <c r="C567" s="67"/>
      <c r="D567" s="61"/>
      <c r="E567" s="62"/>
      <c r="F567" s="87"/>
      <c r="G567" s="64"/>
      <c r="H567" s="88"/>
      <c r="I567" s="88"/>
      <c r="J567" s="88"/>
      <c r="K567" s="88"/>
      <c r="L567" s="88"/>
      <c r="M567" s="88"/>
      <c r="N567" s="88"/>
      <c r="O567" s="88"/>
      <c r="P567" s="88"/>
      <c r="Q567" s="62"/>
      <c r="R567" s="62"/>
      <c r="S567" s="63"/>
    </row>
    <row r="568">
      <c r="A568" s="90"/>
      <c r="B568" s="90"/>
      <c r="C568" s="67"/>
      <c r="D568" s="61"/>
      <c r="E568" s="62"/>
      <c r="F568" s="87"/>
      <c r="G568" s="64"/>
      <c r="H568" s="88"/>
      <c r="I568" s="88"/>
      <c r="J568" s="88"/>
      <c r="K568" s="88"/>
      <c r="L568" s="88"/>
      <c r="M568" s="88"/>
      <c r="N568" s="88"/>
      <c r="O568" s="88"/>
      <c r="P568" s="88"/>
      <c r="Q568" s="62"/>
      <c r="R568" s="62"/>
      <c r="S568" s="63"/>
    </row>
    <row r="569">
      <c r="A569" s="90"/>
      <c r="B569" s="90"/>
      <c r="C569" s="67"/>
      <c r="D569" s="61"/>
      <c r="E569" s="62"/>
      <c r="F569" s="87"/>
      <c r="G569" s="64"/>
      <c r="H569" s="88"/>
      <c r="I569" s="88"/>
      <c r="J569" s="88"/>
      <c r="K569" s="88"/>
      <c r="L569" s="88"/>
      <c r="M569" s="88"/>
      <c r="N569" s="88"/>
      <c r="O569" s="88"/>
      <c r="P569" s="88"/>
      <c r="Q569" s="62"/>
      <c r="R569" s="62"/>
      <c r="S569" s="63"/>
    </row>
    <row r="570">
      <c r="A570" s="90"/>
      <c r="B570" s="90"/>
      <c r="C570" s="67"/>
      <c r="D570" s="61"/>
      <c r="E570" s="62"/>
      <c r="F570" s="87"/>
      <c r="G570" s="64"/>
      <c r="H570" s="88"/>
      <c r="I570" s="88"/>
      <c r="J570" s="88"/>
      <c r="K570" s="88"/>
      <c r="L570" s="88"/>
      <c r="M570" s="88"/>
      <c r="N570" s="88"/>
      <c r="O570" s="88"/>
      <c r="P570" s="88"/>
      <c r="Q570" s="62"/>
      <c r="R570" s="62"/>
      <c r="S570" s="63"/>
    </row>
    <row r="571">
      <c r="A571" s="90"/>
      <c r="B571" s="90"/>
      <c r="C571" s="67"/>
      <c r="D571" s="61"/>
      <c r="E571" s="62"/>
      <c r="F571" s="87"/>
      <c r="G571" s="64"/>
      <c r="H571" s="88"/>
      <c r="I571" s="88"/>
      <c r="J571" s="88"/>
      <c r="K571" s="88"/>
      <c r="L571" s="88"/>
      <c r="M571" s="88"/>
      <c r="N571" s="88"/>
      <c r="O571" s="88"/>
      <c r="P571" s="88"/>
      <c r="Q571" s="62"/>
      <c r="R571" s="62"/>
      <c r="S571" s="63"/>
    </row>
    <row r="572">
      <c r="A572" s="90"/>
      <c r="B572" s="90"/>
      <c r="C572" s="67"/>
      <c r="D572" s="61"/>
      <c r="E572" s="62"/>
      <c r="F572" s="87"/>
      <c r="G572" s="64"/>
      <c r="H572" s="88"/>
      <c r="I572" s="88"/>
      <c r="J572" s="88"/>
      <c r="K572" s="88"/>
      <c r="L572" s="88"/>
      <c r="M572" s="88"/>
      <c r="N572" s="88"/>
      <c r="O572" s="88"/>
      <c r="P572" s="88"/>
      <c r="Q572" s="62"/>
      <c r="R572" s="62"/>
      <c r="S572" s="63"/>
    </row>
    <row r="573">
      <c r="A573" s="90"/>
      <c r="B573" s="90"/>
      <c r="C573" s="67"/>
      <c r="D573" s="61"/>
      <c r="E573" s="62"/>
      <c r="F573" s="87"/>
      <c r="G573" s="64"/>
      <c r="H573" s="88"/>
      <c r="I573" s="88"/>
      <c r="J573" s="88"/>
      <c r="K573" s="88"/>
      <c r="L573" s="88"/>
      <c r="M573" s="88"/>
      <c r="N573" s="88"/>
      <c r="O573" s="88"/>
      <c r="P573" s="88"/>
      <c r="Q573" s="62"/>
      <c r="R573" s="62"/>
      <c r="S573" s="63"/>
    </row>
    <row r="574">
      <c r="A574" s="90"/>
      <c r="B574" s="90"/>
      <c r="C574" s="67"/>
      <c r="D574" s="61"/>
      <c r="E574" s="62"/>
      <c r="F574" s="87"/>
      <c r="G574" s="64"/>
      <c r="H574" s="88"/>
      <c r="I574" s="88"/>
      <c r="J574" s="88"/>
      <c r="K574" s="88"/>
      <c r="L574" s="88"/>
      <c r="M574" s="88"/>
      <c r="N574" s="88"/>
      <c r="O574" s="88"/>
      <c r="P574" s="88"/>
      <c r="Q574" s="62"/>
      <c r="R574" s="62"/>
      <c r="S574" s="63"/>
    </row>
    <row r="575">
      <c r="A575" s="90"/>
      <c r="B575" s="90"/>
      <c r="C575" s="67"/>
      <c r="D575" s="61"/>
      <c r="E575" s="62"/>
      <c r="F575" s="87"/>
      <c r="G575" s="64"/>
      <c r="H575" s="88"/>
      <c r="I575" s="88"/>
      <c r="J575" s="88"/>
      <c r="K575" s="88"/>
      <c r="L575" s="88"/>
      <c r="M575" s="88"/>
      <c r="N575" s="88"/>
      <c r="O575" s="88"/>
      <c r="P575" s="88"/>
      <c r="Q575" s="62"/>
      <c r="R575" s="62"/>
      <c r="S575" s="63"/>
    </row>
    <row r="576">
      <c r="A576" s="90"/>
      <c r="B576" s="90"/>
      <c r="C576" s="67"/>
      <c r="D576" s="61"/>
      <c r="E576" s="62"/>
      <c r="F576" s="87"/>
      <c r="G576" s="64"/>
      <c r="H576" s="88"/>
      <c r="I576" s="88"/>
      <c r="J576" s="88"/>
      <c r="K576" s="88"/>
      <c r="L576" s="88"/>
      <c r="M576" s="88"/>
      <c r="N576" s="88"/>
      <c r="O576" s="88"/>
      <c r="P576" s="88"/>
      <c r="Q576" s="62"/>
      <c r="R576" s="62"/>
      <c r="S576" s="63"/>
    </row>
    <row r="577">
      <c r="A577" s="90"/>
      <c r="B577" s="90"/>
      <c r="C577" s="67"/>
      <c r="D577" s="61"/>
      <c r="E577" s="62"/>
      <c r="F577" s="87"/>
      <c r="G577" s="64"/>
      <c r="H577" s="88"/>
      <c r="I577" s="88"/>
      <c r="J577" s="88"/>
      <c r="K577" s="88"/>
      <c r="L577" s="88"/>
      <c r="M577" s="88"/>
      <c r="N577" s="88"/>
      <c r="O577" s="88"/>
      <c r="P577" s="88"/>
      <c r="Q577" s="62"/>
      <c r="R577" s="62"/>
      <c r="S577" s="63"/>
    </row>
    <row r="578">
      <c r="A578" s="90"/>
      <c r="B578" s="90"/>
      <c r="C578" s="67"/>
      <c r="D578" s="61"/>
      <c r="E578" s="62"/>
      <c r="F578" s="87"/>
      <c r="G578" s="64"/>
      <c r="H578" s="88"/>
      <c r="I578" s="88"/>
      <c r="J578" s="88"/>
      <c r="K578" s="88"/>
      <c r="L578" s="88"/>
      <c r="M578" s="88"/>
      <c r="N578" s="88"/>
      <c r="O578" s="88"/>
      <c r="P578" s="88"/>
      <c r="Q578" s="62"/>
      <c r="R578" s="62"/>
      <c r="S578" s="63"/>
    </row>
    <row r="579">
      <c r="A579" s="90"/>
      <c r="B579" s="90"/>
      <c r="C579" s="67"/>
      <c r="D579" s="61"/>
      <c r="E579" s="62"/>
      <c r="F579" s="87"/>
      <c r="G579" s="64"/>
      <c r="H579" s="88"/>
      <c r="I579" s="88"/>
      <c r="J579" s="88"/>
      <c r="K579" s="88"/>
      <c r="L579" s="88"/>
      <c r="M579" s="88"/>
      <c r="N579" s="88"/>
      <c r="O579" s="88"/>
      <c r="P579" s="88"/>
      <c r="Q579" s="62"/>
      <c r="R579" s="62"/>
      <c r="S579" s="63"/>
    </row>
    <row r="580">
      <c r="A580" s="90"/>
      <c r="B580" s="90"/>
      <c r="C580" s="67"/>
      <c r="D580" s="61"/>
      <c r="E580" s="62"/>
      <c r="F580" s="87"/>
      <c r="G580" s="64"/>
      <c r="H580" s="88"/>
      <c r="I580" s="88"/>
      <c r="J580" s="88"/>
      <c r="K580" s="88"/>
      <c r="L580" s="88"/>
      <c r="M580" s="88"/>
      <c r="N580" s="88"/>
      <c r="O580" s="88"/>
      <c r="P580" s="88"/>
      <c r="Q580" s="62"/>
      <c r="R580" s="62"/>
      <c r="S580" s="63"/>
    </row>
    <row r="581">
      <c r="A581" s="90"/>
      <c r="B581" s="90"/>
      <c r="C581" s="67"/>
      <c r="D581" s="61"/>
      <c r="E581" s="62"/>
      <c r="F581" s="87"/>
      <c r="G581" s="64"/>
      <c r="H581" s="88"/>
      <c r="I581" s="88"/>
      <c r="J581" s="88"/>
      <c r="K581" s="88"/>
      <c r="L581" s="88"/>
      <c r="M581" s="88"/>
      <c r="N581" s="88"/>
      <c r="O581" s="88"/>
      <c r="P581" s="88"/>
      <c r="Q581" s="62"/>
      <c r="R581" s="62"/>
      <c r="S581" s="63"/>
    </row>
    <row r="582">
      <c r="A582" s="90"/>
      <c r="B582" s="90"/>
      <c r="C582" s="67"/>
      <c r="D582" s="61"/>
      <c r="E582" s="62"/>
      <c r="F582" s="87"/>
      <c r="G582" s="64"/>
      <c r="H582" s="88"/>
      <c r="I582" s="88"/>
      <c r="J582" s="88"/>
      <c r="K582" s="88"/>
      <c r="L582" s="88"/>
      <c r="M582" s="88"/>
      <c r="N582" s="88"/>
      <c r="O582" s="88"/>
      <c r="P582" s="88"/>
      <c r="Q582" s="62"/>
      <c r="R582" s="62"/>
      <c r="S582" s="63"/>
    </row>
    <row r="583">
      <c r="A583" s="90"/>
      <c r="B583" s="90"/>
      <c r="C583" s="67"/>
      <c r="D583" s="61"/>
      <c r="E583" s="62"/>
      <c r="F583" s="87"/>
      <c r="G583" s="64"/>
      <c r="H583" s="88"/>
      <c r="I583" s="88"/>
      <c r="J583" s="88"/>
      <c r="K583" s="88"/>
      <c r="L583" s="88"/>
      <c r="M583" s="88"/>
      <c r="N583" s="88"/>
      <c r="O583" s="88"/>
      <c r="P583" s="88"/>
      <c r="Q583" s="62"/>
      <c r="R583" s="62"/>
      <c r="S583" s="63"/>
    </row>
    <row r="584">
      <c r="A584" s="90"/>
      <c r="B584" s="90"/>
      <c r="C584" s="67"/>
      <c r="D584" s="61"/>
      <c r="E584" s="62"/>
      <c r="F584" s="87"/>
      <c r="G584" s="64"/>
      <c r="H584" s="88"/>
      <c r="I584" s="88"/>
      <c r="J584" s="88"/>
      <c r="K584" s="88"/>
      <c r="L584" s="88"/>
      <c r="M584" s="88"/>
      <c r="N584" s="88"/>
      <c r="O584" s="88"/>
      <c r="P584" s="88"/>
      <c r="Q584" s="62"/>
      <c r="R584" s="62"/>
      <c r="S584" s="63"/>
    </row>
    <row r="585">
      <c r="A585" s="90"/>
      <c r="B585" s="90"/>
      <c r="C585" s="67"/>
      <c r="D585" s="61"/>
      <c r="E585" s="62"/>
      <c r="F585" s="87"/>
      <c r="G585" s="64"/>
      <c r="H585" s="88"/>
      <c r="I585" s="88"/>
      <c r="J585" s="88"/>
      <c r="K585" s="88"/>
      <c r="L585" s="88"/>
      <c r="M585" s="88"/>
      <c r="N585" s="88"/>
      <c r="O585" s="88"/>
      <c r="P585" s="88"/>
      <c r="Q585" s="62"/>
      <c r="R585" s="62"/>
      <c r="S585" s="63"/>
    </row>
    <row r="586">
      <c r="A586" s="90"/>
      <c r="B586" s="90"/>
      <c r="C586" s="67"/>
      <c r="D586" s="61"/>
      <c r="E586" s="62"/>
      <c r="F586" s="87"/>
      <c r="G586" s="64"/>
      <c r="H586" s="88"/>
      <c r="I586" s="88"/>
      <c r="J586" s="88"/>
      <c r="K586" s="88"/>
      <c r="L586" s="88"/>
      <c r="M586" s="88"/>
      <c r="N586" s="88"/>
      <c r="O586" s="88"/>
      <c r="P586" s="88"/>
      <c r="Q586" s="62"/>
      <c r="R586" s="62"/>
      <c r="S586" s="63"/>
    </row>
    <row r="587">
      <c r="A587" s="90"/>
      <c r="B587" s="90"/>
      <c r="C587" s="67"/>
      <c r="D587" s="61"/>
      <c r="E587" s="62"/>
      <c r="F587" s="87"/>
      <c r="G587" s="64"/>
      <c r="H587" s="88"/>
      <c r="I587" s="88"/>
      <c r="J587" s="88"/>
      <c r="K587" s="88"/>
      <c r="L587" s="88"/>
      <c r="M587" s="88"/>
      <c r="N587" s="88"/>
      <c r="O587" s="88"/>
      <c r="P587" s="88"/>
      <c r="Q587" s="62"/>
      <c r="R587" s="62"/>
      <c r="S587" s="63"/>
    </row>
    <row r="588">
      <c r="A588" s="90"/>
      <c r="B588" s="90"/>
      <c r="C588" s="67"/>
      <c r="D588" s="61"/>
      <c r="E588" s="62"/>
      <c r="F588" s="87"/>
      <c r="G588" s="64"/>
      <c r="H588" s="88"/>
      <c r="I588" s="88"/>
      <c r="J588" s="88"/>
      <c r="K588" s="88"/>
      <c r="L588" s="88"/>
      <c r="M588" s="88"/>
      <c r="N588" s="88"/>
      <c r="O588" s="88"/>
      <c r="P588" s="88"/>
      <c r="Q588" s="62"/>
      <c r="R588" s="62"/>
      <c r="S588" s="63"/>
    </row>
    <row r="589">
      <c r="A589" s="90"/>
      <c r="B589" s="90"/>
      <c r="C589" s="67"/>
      <c r="D589" s="61"/>
      <c r="E589" s="62"/>
      <c r="F589" s="87"/>
      <c r="G589" s="64"/>
      <c r="H589" s="88"/>
      <c r="I589" s="88"/>
      <c r="J589" s="88"/>
      <c r="K589" s="88"/>
      <c r="L589" s="88"/>
      <c r="M589" s="88"/>
      <c r="N589" s="88"/>
      <c r="O589" s="88"/>
      <c r="P589" s="88"/>
      <c r="Q589" s="62"/>
      <c r="R589" s="62"/>
      <c r="S589" s="63"/>
    </row>
    <row r="590">
      <c r="A590" s="90"/>
      <c r="B590" s="90"/>
      <c r="C590" s="67"/>
      <c r="D590" s="61"/>
      <c r="E590" s="62"/>
      <c r="F590" s="87"/>
      <c r="G590" s="64"/>
      <c r="H590" s="88"/>
      <c r="I590" s="88"/>
      <c r="J590" s="88"/>
      <c r="K590" s="88"/>
      <c r="L590" s="88"/>
      <c r="M590" s="88"/>
      <c r="N590" s="88"/>
      <c r="O590" s="88"/>
      <c r="P590" s="88"/>
      <c r="Q590" s="62"/>
      <c r="R590" s="62"/>
      <c r="S590" s="63"/>
    </row>
    <row r="591">
      <c r="A591" s="90"/>
      <c r="B591" s="90"/>
      <c r="C591" s="67"/>
      <c r="D591" s="61"/>
      <c r="E591" s="62"/>
      <c r="F591" s="87"/>
      <c r="G591" s="64"/>
      <c r="H591" s="88"/>
      <c r="I591" s="88"/>
      <c r="J591" s="88"/>
      <c r="K591" s="88"/>
      <c r="L591" s="88"/>
      <c r="M591" s="88"/>
      <c r="N591" s="88"/>
      <c r="O591" s="88"/>
      <c r="P591" s="88"/>
      <c r="Q591" s="62"/>
      <c r="R591" s="62"/>
      <c r="S591" s="63"/>
    </row>
    <row r="592">
      <c r="A592" s="90"/>
      <c r="B592" s="90"/>
      <c r="C592" s="67"/>
      <c r="D592" s="61"/>
      <c r="E592" s="62"/>
      <c r="F592" s="87"/>
      <c r="G592" s="64"/>
      <c r="H592" s="88"/>
      <c r="I592" s="88"/>
      <c r="J592" s="88"/>
      <c r="K592" s="88"/>
      <c r="L592" s="88"/>
      <c r="M592" s="88"/>
      <c r="N592" s="88"/>
      <c r="O592" s="88"/>
      <c r="P592" s="88"/>
      <c r="Q592" s="62"/>
      <c r="R592" s="62"/>
      <c r="S592" s="63"/>
    </row>
    <row r="593">
      <c r="A593" s="90"/>
      <c r="B593" s="90"/>
      <c r="C593" s="67"/>
      <c r="D593" s="61"/>
      <c r="E593" s="62"/>
      <c r="F593" s="87"/>
      <c r="G593" s="64"/>
      <c r="H593" s="88"/>
      <c r="I593" s="88"/>
      <c r="J593" s="88"/>
      <c r="K593" s="88"/>
      <c r="L593" s="88"/>
      <c r="M593" s="88"/>
      <c r="N593" s="88"/>
      <c r="O593" s="88"/>
      <c r="P593" s="88"/>
      <c r="Q593" s="62"/>
      <c r="R593" s="62"/>
      <c r="S593" s="63"/>
    </row>
    <row r="594">
      <c r="A594" s="90"/>
      <c r="B594" s="90"/>
      <c r="C594" s="67"/>
      <c r="D594" s="61"/>
      <c r="E594" s="62"/>
      <c r="F594" s="87"/>
      <c r="G594" s="64"/>
      <c r="H594" s="88"/>
      <c r="I594" s="88"/>
      <c r="J594" s="88"/>
      <c r="K594" s="88"/>
      <c r="L594" s="88"/>
      <c r="M594" s="88"/>
      <c r="N594" s="88"/>
      <c r="O594" s="88"/>
      <c r="P594" s="88"/>
      <c r="Q594" s="62"/>
      <c r="R594" s="62"/>
      <c r="S594" s="63"/>
    </row>
    <row r="595">
      <c r="A595" s="90"/>
      <c r="B595" s="90"/>
      <c r="C595" s="67"/>
      <c r="D595" s="61"/>
      <c r="E595" s="62"/>
      <c r="F595" s="87"/>
      <c r="G595" s="64"/>
      <c r="H595" s="88"/>
      <c r="I595" s="88"/>
      <c r="J595" s="88"/>
      <c r="K595" s="88"/>
      <c r="L595" s="88"/>
      <c r="M595" s="88"/>
      <c r="N595" s="88"/>
      <c r="O595" s="88"/>
      <c r="P595" s="88"/>
      <c r="Q595" s="62"/>
      <c r="R595" s="62"/>
      <c r="S595" s="63"/>
    </row>
    <row r="596">
      <c r="A596" s="90"/>
      <c r="B596" s="90"/>
      <c r="C596" s="67"/>
      <c r="D596" s="61"/>
      <c r="E596" s="62"/>
      <c r="F596" s="87"/>
      <c r="G596" s="64"/>
      <c r="H596" s="88"/>
      <c r="I596" s="88"/>
      <c r="J596" s="88"/>
      <c r="K596" s="88"/>
      <c r="L596" s="88"/>
      <c r="M596" s="88"/>
      <c r="N596" s="88"/>
      <c r="O596" s="88"/>
      <c r="P596" s="88"/>
      <c r="Q596" s="62"/>
      <c r="R596" s="62"/>
      <c r="S596" s="63"/>
    </row>
    <row r="597">
      <c r="A597" s="90"/>
      <c r="B597" s="90"/>
      <c r="C597" s="67"/>
      <c r="D597" s="61"/>
      <c r="E597" s="62"/>
      <c r="F597" s="87"/>
      <c r="G597" s="64"/>
      <c r="H597" s="88"/>
      <c r="I597" s="88"/>
      <c r="J597" s="88"/>
      <c r="K597" s="88"/>
      <c r="L597" s="88"/>
      <c r="M597" s="88"/>
      <c r="N597" s="88"/>
      <c r="O597" s="88"/>
      <c r="P597" s="88"/>
      <c r="Q597" s="62"/>
      <c r="R597" s="62"/>
      <c r="S597" s="63"/>
    </row>
    <row r="598">
      <c r="A598" s="90"/>
      <c r="B598" s="90"/>
      <c r="C598" s="67"/>
      <c r="D598" s="61"/>
      <c r="E598" s="62"/>
      <c r="F598" s="87"/>
      <c r="G598" s="64"/>
      <c r="H598" s="88"/>
      <c r="I598" s="88"/>
      <c r="J598" s="88"/>
      <c r="K598" s="88"/>
      <c r="L598" s="88"/>
      <c r="M598" s="88"/>
      <c r="N598" s="88"/>
      <c r="O598" s="88"/>
      <c r="P598" s="88"/>
      <c r="Q598" s="62"/>
      <c r="R598" s="62"/>
      <c r="S598" s="63"/>
    </row>
    <row r="599">
      <c r="A599" s="90"/>
      <c r="B599" s="90"/>
      <c r="C599" s="67"/>
      <c r="D599" s="61"/>
      <c r="E599" s="62"/>
      <c r="F599" s="87"/>
      <c r="G599" s="64"/>
      <c r="H599" s="88"/>
      <c r="I599" s="88"/>
      <c r="J599" s="88"/>
      <c r="K599" s="88"/>
      <c r="L599" s="88"/>
      <c r="M599" s="88"/>
      <c r="N599" s="88"/>
      <c r="O599" s="88"/>
      <c r="P599" s="88"/>
      <c r="Q599" s="62"/>
      <c r="R599" s="62"/>
      <c r="S599" s="63"/>
    </row>
    <row r="600">
      <c r="A600" s="90"/>
      <c r="B600" s="90"/>
      <c r="C600" s="67"/>
      <c r="D600" s="61"/>
      <c r="E600" s="62"/>
      <c r="F600" s="87"/>
      <c r="G600" s="64"/>
      <c r="H600" s="88"/>
      <c r="I600" s="88"/>
      <c r="J600" s="88"/>
      <c r="K600" s="88"/>
      <c r="L600" s="88"/>
      <c r="M600" s="88"/>
      <c r="N600" s="88"/>
      <c r="O600" s="88"/>
      <c r="P600" s="88"/>
      <c r="Q600" s="62"/>
      <c r="R600" s="62"/>
      <c r="S600" s="63"/>
    </row>
    <row r="601">
      <c r="A601" s="90"/>
      <c r="B601" s="90"/>
      <c r="C601" s="67"/>
      <c r="D601" s="61"/>
      <c r="E601" s="62"/>
      <c r="F601" s="87"/>
      <c r="G601" s="64"/>
      <c r="H601" s="88"/>
      <c r="I601" s="88"/>
      <c r="J601" s="88"/>
      <c r="K601" s="88"/>
      <c r="L601" s="88"/>
      <c r="M601" s="88"/>
      <c r="N601" s="88"/>
      <c r="O601" s="88"/>
      <c r="P601" s="88"/>
      <c r="Q601" s="62"/>
      <c r="R601" s="62"/>
      <c r="S601" s="63"/>
    </row>
    <row r="602">
      <c r="A602" s="90"/>
      <c r="B602" s="90"/>
      <c r="C602" s="67"/>
      <c r="D602" s="61"/>
      <c r="E602" s="62"/>
      <c r="F602" s="87"/>
      <c r="G602" s="64"/>
      <c r="H602" s="88"/>
      <c r="I602" s="88"/>
      <c r="J602" s="88"/>
      <c r="K602" s="88"/>
      <c r="L602" s="88"/>
      <c r="M602" s="88"/>
      <c r="N602" s="88"/>
      <c r="O602" s="88"/>
      <c r="P602" s="88"/>
      <c r="Q602" s="62"/>
      <c r="R602" s="62"/>
      <c r="S602" s="63"/>
    </row>
    <row r="603">
      <c r="A603" s="90"/>
      <c r="B603" s="90"/>
      <c r="C603" s="67"/>
      <c r="D603" s="61"/>
      <c r="E603" s="62"/>
      <c r="F603" s="87"/>
      <c r="G603" s="64"/>
      <c r="H603" s="88"/>
      <c r="I603" s="88"/>
      <c r="J603" s="88"/>
      <c r="K603" s="88"/>
      <c r="L603" s="88"/>
      <c r="M603" s="88"/>
      <c r="N603" s="88"/>
      <c r="O603" s="88"/>
      <c r="P603" s="88"/>
      <c r="Q603" s="62"/>
      <c r="R603" s="62"/>
      <c r="S603" s="63"/>
    </row>
    <row r="604">
      <c r="A604" s="90"/>
      <c r="B604" s="90"/>
      <c r="C604" s="67"/>
      <c r="D604" s="61"/>
      <c r="E604" s="62"/>
      <c r="F604" s="87"/>
      <c r="G604" s="64"/>
      <c r="H604" s="88"/>
      <c r="I604" s="88"/>
      <c r="J604" s="88"/>
      <c r="K604" s="88"/>
      <c r="L604" s="88"/>
      <c r="M604" s="88"/>
      <c r="N604" s="88"/>
      <c r="O604" s="88"/>
      <c r="P604" s="88"/>
      <c r="Q604" s="62"/>
      <c r="R604" s="62"/>
      <c r="S604" s="63"/>
    </row>
    <row r="605">
      <c r="A605" s="90"/>
      <c r="B605" s="90"/>
      <c r="C605" s="67"/>
      <c r="D605" s="61"/>
      <c r="E605" s="62"/>
      <c r="F605" s="87"/>
      <c r="G605" s="64"/>
      <c r="H605" s="88"/>
      <c r="I605" s="88"/>
      <c r="J605" s="88"/>
      <c r="K605" s="88"/>
      <c r="L605" s="88"/>
      <c r="M605" s="88"/>
      <c r="N605" s="88"/>
      <c r="O605" s="88"/>
      <c r="P605" s="88"/>
      <c r="Q605" s="62"/>
      <c r="R605" s="62"/>
      <c r="S605" s="63"/>
    </row>
    <row r="606">
      <c r="A606" s="90"/>
      <c r="B606" s="90"/>
      <c r="C606" s="67"/>
      <c r="D606" s="61"/>
      <c r="E606" s="62"/>
      <c r="F606" s="87"/>
      <c r="G606" s="64"/>
      <c r="H606" s="88"/>
      <c r="I606" s="88"/>
      <c r="J606" s="88"/>
      <c r="K606" s="88"/>
      <c r="L606" s="88"/>
      <c r="M606" s="88"/>
      <c r="N606" s="88"/>
      <c r="O606" s="88"/>
      <c r="P606" s="88"/>
      <c r="Q606" s="62"/>
      <c r="R606" s="62"/>
      <c r="S606" s="63"/>
    </row>
    <row r="607">
      <c r="A607" s="90"/>
      <c r="B607" s="90"/>
      <c r="C607" s="67"/>
      <c r="D607" s="61"/>
      <c r="E607" s="62"/>
      <c r="F607" s="87"/>
      <c r="G607" s="64"/>
      <c r="H607" s="88"/>
      <c r="I607" s="88"/>
      <c r="J607" s="88"/>
      <c r="K607" s="88"/>
      <c r="L607" s="88"/>
      <c r="M607" s="88"/>
      <c r="N607" s="88"/>
      <c r="O607" s="88"/>
      <c r="P607" s="88"/>
      <c r="Q607" s="62"/>
      <c r="R607" s="62"/>
      <c r="S607" s="63"/>
    </row>
    <row r="608">
      <c r="A608" s="90"/>
      <c r="B608" s="90"/>
      <c r="C608" s="67"/>
      <c r="D608" s="61"/>
      <c r="E608" s="62"/>
      <c r="F608" s="87"/>
      <c r="G608" s="64"/>
      <c r="H608" s="88"/>
      <c r="I608" s="88"/>
      <c r="J608" s="88"/>
      <c r="K608" s="88"/>
      <c r="L608" s="88"/>
      <c r="M608" s="88"/>
      <c r="N608" s="88"/>
      <c r="O608" s="88"/>
      <c r="P608" s="88"/>
      <c r="Q608" s="62"/>
      <c r="R608" s="62"/>
      <c r="S608" s="63"/>
    </row>
    <row r="609">
      <c r="A609" s="90"/>
      <c r="B609" s="90"/>
      <c r="C609" s="67"/>
      <c r="D609" s="61"/>
      <c r="E609" s="62"/>
      <c r="F609" s="87"/>
      <c r="G609" s="64"/>
      <c r="H609" s="88"/>
      <c r="I609" s="88"/>
      <c r="J609" s="88"/>
      <c r="K609" s="88"/>
      <c r="L609" s="88"/>
      <c r="M609" s="88"/>
      <c r="N609" s="88"/>
      <c r="O609" s="88"/>
      <c r="P609" s="88"/>
      <c r="Q609" s="62"/>
      <c r="R609" s="62"/>
      <c r="S609" s="63"/>
    </row>
    <row r="610">
      <c r="A610" s="90"/>
      <c r="B610" s="90"/>
      <c r="C610" s="67"/>
      <c r="D610" s="61"/>
      <c r="E610" s="62"/>
      <c r="F610" s="87"/>
      <c r="G610" s="64"/>
      <c r="H610" s="88"/>
      <c r="I610" s="88"/>
      <c r="J610" s="88"/>
      <c r="K610" s="88"/>
      <c r="L610" s="88"/>
      <c r="M610" s="88"/>
      <c r="N610" s="88"/>
      <c r="O610" s="88"/>
      <c r="P610" s="88"/>
      <c r="Q610" s="62"/>
      <c r="R610" s="62"/>
      <c r="S610" s="63"/>
    </row>
    <row r="611">
      <c r="A611" s="90"/>
      <c r="B611" s="90"/>
      <c r="C611" s="67"/>
      <c r="D611" s="61"/>
      <c r="E611" s="62"/>
      <c r="F611" s="87"/>
      <c r="G611" s="64"/>
      <c r="H611" s="88"/>
      <c r="I611" s="88"/>
      <c r="J611" s="88"/>
      <c r="K611" s="88"/>
      <c r="L611" s="88"/>
      <c r="M611" s="88"/>
      <c r="N611" s="88"/>
      <c r="O611" s="88"/>
      <c r="P611" s="88"/>
      <c r="Q611" s="62"/>
      <c r="R611" s="62"/>
      <c r="S611" s="63"/>
    </row>
    <row r="612">
      <c r="A612" s="90"/>
      <c r="B612" s="90"/>
      <c r="C612" s="67"/>
      <c r="D612" s="61"/>
      <c r="E612" s="62"/>
      <c r="F612" s="87"/>
      <c r="G612" s="64"/>
      <c r="H612" s="88"/>
      <c r="I612" s="88"/>
      <c r="J612" s="88"/>
      <c r="K612" s="88"/>
      <c r="L612" s="88"/>
      <c r="M612" s="88"/>
      <c r="N612" s="88"/>
      <c r="O612" s="88"/>
      <c r="P612" s="88"/>
      <c r="Q612" s="62"/>
      <c r="R612" s="62"/>
      <c r="S612" s="63"/>
    </row>
    <row r="613">
      <c r="A613" s="90"/>
      <c r="B613" s="90"/>
      <c r="C613" s="67"/>
      <c r="D613" s="61"/>
      <c r="E613" s="62"/>
      <c r="F613" s="87"/>
      <c r="G613" s="64"/>
      <c r="H613" s="88"/>
      <c r="I613" s="88"/>
      <c r="J613" s="88"/>
      <c r="K613" s="88"/>
      <c r="L613" s="88"/>
      <c r="M613" s="88"/>
      <c r="N613" s="88"/>
      <c r="O613" s="88"/>
      <c r="P613" s="88"/>
      <c r="Q613" s="62"/>
      <c r="R613" s="62"/>
      <c r="S613" s="63"/>
    </row>
    <row r="614">
      <c r="A614" s="90"/>
      <c r="B614" s="90"/>
      <c r="C614" s="67"/>
      <c r="D614" s="61"/>
      <c r="E614" s="62"/>
      <c r="F614" s="87"/>
      <c r="G614" s="64"/>
      <c r="H614" s="88"/>
      <c r="I614" s="88"/>
      <c r="J614" s="88"/>
      <c r="K614" s="88"/>
      <c r="L614" s="88"/>
      <c r="M614" s="88"/>
      <c r="N614" s="88"/>
      <c r="O614" s="88"/>
      <c r="P614" s="88"/>
      <c r="Q614" s="62"/>
      <c r="R614" s="62"/>
      <c r="S614" s="63"/>
    </row>
    <row r="615">
      <c r="A615" s="90"/>
      <c r="B615" s="90"/>
      <c r="C615" s="67"/>
      <c r="D615" s="61"/>
      <c r="E615" s="62"/>
      <c r="F615" s="87"/>
      <c r="G615" s="64"/>
      <c r="H615" s="88"/>
      <c r="I615" s="88"/>
      <c r="J615" s="88"/>
      <c r="K615" s="88"/>
      <c r="L615" s="88"/>
      <c r="M615" s="88"/>
      <c r="N615" s="88"/>
      <c r="O615" s="88"/>
      <c r="P615" s="88"/>
      <c r="Q615" s="62"/>
      <c r="R615" s="62"/>
      <c r="S615" s="63"/>
    </row>
    <row r="616">
      <c r="A616" s="90"/>
      <c r="B616" s="90"/>
      <c r="C616" s="67"/>
      <c r="D616" s="61"/>
      <c r="E616" s="62"/>
      <c r="F616" s="87"/>
      <c r="G616" s="64"/>
      <c r="H616" s="88"/>
      <c r="I616" s="88"/>
      <c r="J616" s="88"/>
      <c r="K616" s="88"/>
      <c r="L616" s="88"/>
      <c r="M616" s="88"/>
      <c r="N616" s="88"/>
      <c r="O616" s="88"/>
      <c r="P616" s="88"/>
      <c r="Q616" s="62"/>
      <c r="R616" s="62"/>
      <c r="S616" s="63"/>
    </row>
    <row r="617">
      <c r="A617" s="90"/>
      <c r="B617" s="90"/>
      <c r="C617" s="67"/>
      <c r="D617" s="61"/>
      <c r="E617" s="62"/>
      <c r="F617" s="87"/>
      <c r="G617" s="64"/>
      <c r="H617" s="88"/>
      <c r="I617" s="88"/>
      <c r="J617" s="88"/>
      <c r="K617" s="88"/>
      <c r="L617" s="88"/>
      <c r="M617" s="88"/>
      <c r="N617" s="88"/>
      <c r="O617" s="88"/>
      <c r="P617" s="88"/>
      <c r="Q617" s="62"/>
      <c r="R617" s="62"/>
      <c r="S617" s="63"/>
    </row>
    <row r="618">
      <c r="A618" s="90"/>
      <c r="B618" s="90"/>
      <c r="C618" s="67"/>
      <c r="D618" s="61"/>
      <c r="E618" s="62"/>
      <c r="F618" s="87"/>
      <c r="G618" s="64"/>
      <c r="H618" s="88"/>
      <c r="I618" s="88"/>
      <c r="J618" s="88"/>
      <c r="K618" s="88"/>
      <c r="L618" s="88"/>
      <c r="M618" s="88"/>
      <c r="N618" s="88"/>
      <c r="O618" s="88"/>
      <c r="P618" s="88"/>
      <c r="Q618" s="62"/>
      <c r="R618" s="62"/>
      <c r="S618" s="63"/>
    </row>
    <row r="619">
      <c r="A619" s="90"/>
      <c r="B619" s="90"/>
      <c r="C619" s="67"/>
      <c r="D619" s="61"/>
      <c r="E619" s="62"/>
      <c r="F619" s="87"/>
      <c r="G619" s="64"/>
      <c r="H619" s="88"/>
      <c r="I619" s="88"/>
      <c r="J619" s="88"/>
      <c r="K619" s="88"/>
      <c r="L619" s="88"/>
      <c r="M619" s="88"/>
      <c r="N619" s="88"/>
      <c r="O619" s="88"/>
      <c r="P619" s="88"/>
      <c r="Q619" s="62"/>
      <c r="R619" s="62"/>
      <c r="S619" s="63"/>
    </row>
    <row r="620">
      <c r="A620" s="90"/>
      <c r="B620" s="90"/>
      <c r="C620" s="67"/>
      <c r="D620" s="61"/>
      <c r="E620" s="62"/>
      <c r="F620" s="87"/>
      <c r="G620" s="64"/>
      <c r="H620" s="88"/>
      <c r="I620" s="88"/>
      <c r="J620" s="88"/>
      <c r="K620" s="88"/>
      <c r="L620" s="88"/>
      <c r="M620" s="88"/>
      <c r="N620" s="88"/>
      <c r="O620" s="88"/>
      <c r="P620" s="88"/>
      <c r="Q620" s="62"/>
      <c r="R620" s="62"/>
      <c r="S620" s="63"/>
    </row>
    <row r="621">
      <c r="A621" s="90"/>
      <c r="B621" s="90"/>
      <c r="C621" s="67"/>
      <c r="D621" s="61"/>
      <c r="E621" s="62"/>
      <c r="F621" s="87"/>
      <c r="G621" s="64"/>
      <c r="H621" s="88"/>
      <c r="I621" s="88"/>
      <c r="J621" s="88"/>
      <c r="K621" s="88"/>
      <c r="L621" s="88"/>
      <c r="M621" s="88"/>
      <c r="N621" s="88"/>
      <c r="O621" s="88"/>
      <c r="P621" s="88"/>
      <c r="Q621" s="62"/>
      <c r="R621" s="62"/>
      <c r="S621" s="63"/>
    </row>
    <row r="622">
      <c r="A622" s="90"/>
      <c r="B622" s="90"/>
      <c r="C622" s="67"/>
      <c r="D622" s="61"/>
      <c r="E622" s="62"/>
      <c r="F622" s="87"/>
      <c r="G622" s="64"/>
      <c r="H622" s="88"/>
      <c r="I622" s="88"/>
      <c r="J622" s="88"/>
      <c r="K622" s="88"/>
      <c r="L622" s="88"/>
      <c r="M622" s="88"/>
      <c r="N622" s="88"/>
      <c r="O622" s="88"/>
      <c r="P622" s="88"/>
      <c r="Q622" s="62"/>
      <c r="R622" s="62"/>
      <c r="S622" s="63"/>
    </row>
    <row r="623">
      <c r="A623" s="90"/>
      <c r="B623" s="90"/>
      <c r="C623" s="67"/>
      <c r="D623" s="61"/>
      <c r="E623" s="62"/>
      <c r="F623" s="87"/>
      <c r="G623" s="64"/>
      <c r="H623" s="88"/>
      <c r="I623" s="88"/>
      <c r="J623" s="88"/>
      <c r="K623" s="88"/>
      <c r="L623" s="88"/>
      <c r="M623" s="88"/>
      <c r="N623" s="88"/>
      <c r="O623" s="88"/>
      <c r="P623" s="88"/>
      <c r="Q623" s="62"/>
      <c r="R623" s="62"/>
      <c r="S623" s="63"/>
    </row>
    <row r="624">
      <c r="A624" s="90"/>
      <c r="B624" s="90"/>
      <c r="C624" s="67"/>
      <c r="D624" s="61"/>
      <c r="E624" s="62"/>
      <c r="F624" s="87"/>
      <c r="G624" s="64"/>
      <c r="H624" s="88"/>
      <c r="I624" s="88"/>
      <c r="J624" s="88"/>
      <c r="K624" s="88"/>
      <c r="L624" s="88"/>
      <c r="M624" s="88"/>
      <c r="N624" s="88"/>
      <c r="O624" s="88"/>
      <c r="P624" s="88"/>
      <c r="Q624" s="62"/>
      <c r="R624" s="62"/>
      <c r="S624" s="63"/>
    </row>
    <row r="625">
      <c r="A625" s="90"/>
      <c r="B625" s="90"/>
      <c r="C625" s="67"/>
      <c r="D625" s="61"/>
      <c r="E625" s="62"/>
      <c r="F625" s="87"/>
      <c r="G625" s="64"/>
      <c r="H625" s="88"/>
      <c r="I625" s="88"/>
      <c r="J625" s="88"/>
      <c r="K625" s="88"/>
      <c r="L625" s="88"/>
      <c r="M625" s="88"/>
      <c r="N625" s="88"/>
      <c r="O625" s="88"/>
      <c r="P625" s="88"/>
      <c r="Q625" s="62"/>
      <c r="R625" s="62"/>
      <c r="S625" s="63"/>
    </row>
    <row r="626">
      <c r="A626" s="90"/>
      <c r="B626" s="90"/>
      <c r="C626" s="67"/>
      <c r="D626" s="61"/>
      <c r="E626" s="62"/>
      <c r="F626" s="87"/>
      <c r="G626" s="64"/>
      <c r="H626" s="88"/>
      <c r="I626" s="88"/>
      <c r="J626" s="88"/>
      <c r="K626" s="88"/>
      <c r="L626" s="88"/>
      <c r="M626" s="88"/>
      <c r="N626" s="88"/>
      <c r="O626" s="88"/>
      <c r="P626" s="88"/>
      <c r="Q626" s="62"/>
      <c r="R626" s="62"/>
      <c r="S626" s="63"/>
    </row>
    <row r="627">
      <c r="A627" s="90"/>
      <c r="B627" s="90"/>
      <c r="C627" s="67"/>
      <c r="D627" s="61"/>
      <c r="E627" s="62"/>
      <c r="F627" s="87"/>
      <c r="G627" s="64"/>
      <c r="H627" s="88"/>
      <c r="I627" s="88"/>
      <c r="J627" s="88"/>
      <c r="K627" s="88"/>
      <c r="L627" s="88"/>
      <c r="M627" s="88"/>
      <c r="N627" s="88"/>
      <c r="O627" s="88"/>
      <c r="P627" s="88"/>
      <c r="Q627" s="62"/>
      <c r="R627" s="62"/>
      <c r="S627" s="63"/>
    </row>
    <row r="628">
      <c r="A628" s="90"/>
      <c r="B628" s="90"/>
      <c r="C628" s="67"/>
      <c r="D628" s="61"/>
      <c r="E628" s="62"/>
      <c r="F628" s="87"/>
      <c r="G628" s="64"/>
      <c r="H628" s="88"/>
      <c r="I628" s="88"/>
      <c r="J628" s="88"/>
      <c r="K628" s="88"/>
      <c r="L628" s="88"/>
      <c r="M628" s="88"/>
      <c r="N628" s="88"/>
      <c r="O628" s="88"/>
      <c r="P628" s="88"/>
      <c r="Q628" s="62"/>
      <c r="R628" s="62"/>
      <c r="S628" s="63"/>
    </row>
    <row r="629">
      <c r="A629" s="90"/>
      <c r="B629" s="90"/>
      <c r="C629" s="67"/>
      <c r="D629" s="61"/>
      <c r="E629" s="62"/>
      <c r="F629" s="87"/>
      <c r="G629" s="64"/>
      <c r="H629" s="88"/>
      <c r="I629" s="88"/>
      <c r="J629" s="88"/>
      <c r="K629" s="88"/>
      <c r="L629" s="88"/>
      <c r="M629" s="88"/>
      <c r="N629" s="88"/>
      <c r="O629" s="88"/>
      <c r="P629" s="88"/>
      <c r="Q629" s="62"/>
      <c r="R629" s="62"/>
      <c r="S629" s="63"/>
    </row>
    <row r="630">
      <c r="A630" s="90"/>
      <c r="B630" s="90"/>
      <c r="C630" s="67"/>
      <c r="D630" s="61"/>
      <c r="E630" s="62"/>
      <c r="F630" s="87"/>
      <c r="G630" s="64"/>
      <c r="H630" s="88"/>
      <c r="I630" s="88"/>
      <c r="J630" s="88"/>
      <c r="K630" s="88"/>
      <c r="L630" s="88"/>
      <c r="M630" s="88"/>
      <c r="N630" s="88"/>
      <c r="O630" s="88"/>
      <c r="P630" s="88"/>
      <c r="Q630" s="62"/>
      <c r="R630" s="62"/>
      <c r="S630" s="63"/>
    </row>
    <row r="631">
      <c r="A631" s="90"/>
      <c r="B631" s="90"/>
      <c r="C631" s="67"/>
      <c r="D631" s="61"/>
      <c r="E631" s="62"/>
      <c r="F631" s="87"/>
      <c r="G631" s="64"/>
      <c r="H631" s="88"/>
      <c r="I631" s="88"/>
      <c r="J631" s="88"/>
      <c r="K631" s="88"/>
      <c r="L631" s="88"/>
      <c r="M631" s="88"/>
      <c r="N631" s="88"/>
      <c r="O631" s="88"/>
      <c r="P631" s="88"/>
      <c r="Q631" s="62"/>
      <c r="R631" s="62"/>
      <c r="S631" s="63"/>
    </row>
    <row r="632">
      <c r="A632" s="90"/>
      <c r="B632" s="90"/>
      <c r="C632" s="67"/>
      <c r="D632" s="61"/>
      <c r="E632" s="62"/>
      <c r="F632" s="87"/>
      <c r="G632" s="64"/>
      <c r="H632" s="88"/>
      <c r="I632" s="88"/>
      <c r="J632" s="88"/>
      <c r="K632" s="88"/>
      <c r="L632" s="88"/>
      <c r="M632" s="88"/>
      <c r="N632" s="88"/>
      <c r="O632" s="88"/>
      <c r="P632" s="88"/>
      <c r="Q632" s="62"/>
      <c r="R632" s="62"/>
      <c r="S632" s="63"/>
    </row>
    <row r="633">
      <c r="A633" s="90"/>
      <c r="B633" s="90"/>
      <c r="C633" s="67"/>
      <c r="D633" s="61"/>
      <c r="E633" s="62"/>
      <c r="F633" s="87"/>
      <c r="G633" s="64"/>
      <c r="H633" s="88"/>
      <c r="I633" s="88"/>
      <c r="J633" s="88"/>
      <c r="K633" s="88"/>
      <c r="L633" s="88"/>
      <c r="M633" s="88"/>
      <c r="N633" s="88"/>
      <c r="O633" s="88"/>
      <c r="P633" s="88"/>
      <c r="Q633" s="62"/>
      <c r="R633" s="62"/>
      <c r="S633" s="63"/>
    </row>
    <row r="634">
      <c r="A634" s="90"/>
      <c r="B634" s="90"/>
      <c r="C634" s="67"/>
      <c r="D634" s="61"/>
      <c r="E634" s="62"/>
      <c r="F634" s="87"/>
      <c r="G634" s="64"/>
      <c r="H634" s="88"/>
      <c r="I634" s="88"/>
      <c r="J634" s="88"/>
      <c r="K634" s="88"/>
      <c r="L634" s="88"/>
      <c r="M634" s="88"/>
      <c r="N634" s="88"/>
      <c r="O634" s="88"/>
      <c r="P634" s="88"/>
      <c r="Q634" s="62"/>
      <c r="R634" s="62"/>
      <c r="S634" s="63"/>
    </row>
    <row r="635">
      <c r="A635" s="90"/>
      <c r="B635" s="90"/>
      <c r="C635" s="67"/>
      <c r="D635" s="61"/>
      <c r="E635" s="62"/>
      <c r="F635" s="87"/>
      <c r="G635" s="64"/>
      <c r="H635" s="88"/>
      <c r="I635" s="88"/>
      <c r="J635" s="88"/>
      <c r="K635" s="88"/>
      <c r="L635" s="88"/>
      <c r="M635" s="88"/>
      <c r="N635" s="88"/>
      <c r="O635" s="88"/>
      <c r="P635" s="88"/>
      <c r="Q635" s="62"/>
      <c r="R635" s="62"/>
      <c r="S635" s="63"/>
    </row>
    <row r="636">
      <c r="A636" s="90"/>
      <c r="B636" s="90"/>
      <c r="C636" s="67"/>
      <c r="D636" s="61"/>
      <c r="E636" s="62"/>
      <c r="F636" s="87"/>
      <c r="G636" s="64"/>
      <c r="H636" s="88"/>
      <c r="I636" s="88"/>
      <c r="J636" s="88"/>
      <c r="K636" s="88"/>
      <c r="L636" s="88"/>
      <c r="M636" s="88"/>
      <c r="N636" s="88"/>
      <c r="O636" s="88"/>
      <c r="P636" s="88"/>
      <c r="Q636" s="62"/>
      <c r="R636" s="62"/>
      <c r="S636" s="63"/>
    </row>
    <row r="637">
      <c r="A637" s="90"/>
      <c r="B637" s="90"/>
      <c r="C637" s="67"/>
      <c r="D637" s="61"/>
      <c r="E637" s="62"/>
      <c r="F637" s="87"/>
      <c r="G637" s="64"/>
      <c r="H637" s="88"/>
      <c r="I637" s="88"/>
      <c r="J637" s="88"/>
      <c r="K637" s="88"/>
      <c r="L637" s="88"/>
      <c r="M637" s="88"/>
      <c r="N637" s="88"/>
      <c r="O637" s="88"/>
      <c r="P637" s="88"/>
      <c r="Q637" s="62"/>
      <c r="R637" s="62"/>
      <c r="S637" s="63"/>
    </row>
    <row r="638">
      <c r="A638" s="90"/>
      <c r="B638" s="90"/>
      <c r="C638" s="67"/>
      <c r="D638" s="61"/>
      <c r="E638" s="62"/>
      <c r="F638" s="87"/>
      <c r="G638" s="64"/>
      <c r="H638" s="88"/>
      <c r="I638" s="88"/>
      <c r="J638" s="88"/>
      <c r="K638" s="88"/>
      <c r="L638" s="88"/>
      <c r="M638" s="88"/>
      <c r="N638" s="88"/>
      <c r="O638" s="88"/>
      <c r="P638" s="88"/>
      <c r="Q638" s="62"/>
      <c r="R638" s="62"/>
      <c r="S638" s="63"/>
    </row>
    <row r="639">
      <c r="A639" s="90"/>
      <c r="B639" s="90"/>
      <c r="C639" s="67"/>
      <c r="D639" s="61"/>
      <c r="E639" s="62"/>
      <c r="F639" s="87"/>
      <c r="G639" s="64"/>
      <c r="H639" s="88"/>
      <c r="I639" s="88"/>
      <c r="J639" s="88"/>
      <c r="K639" s="88"/>
      <c r="L639" s="88"/>
      <c r="M639" s="88"/>
      <c r="N639" s="88"/>
      <c r="O639" s="88"/>
      <c r="P639" s="88"/>
      <c r="Q639" s="62"/>
      <c r="R639" s="62"/>
      <c r="S639" s="63"/>
    </row>
    <row r="640">
      <c r="A640" s="90"/>
      <c r="B640" s="90"/>
      <c r="C640" s="67"/>
      <c r="D640" s="61"/>
      <c r="E640" s="62"/>
      <c r="F640" s="87"/>
      <c r="G640" s="64"/>
      <c r="H640" s="88"/>
      <c r="I640" s="88"/>
      <c r="J640" s="88"/>
      <c r="K640" s="88"/>
      <c r="L640" s="88"/>
      <c r="M640" s="88"/>
      <c r="N640" s="88"/>
      <c r="O640" s="88"/>
      <c r="P640" s="88"/>
      <c r="Q640" s="62"/>
      <c r="R640" s="62"/>
      <c r="S640" s="63"/>
    </row>
    <row r="641">
      <c r="A641" s="90"/>
      <c r="B641" s="90"/>
      <c r="C641" s="67"/>
      <c r="D641" s="61"/>
      <c r="E641" s="62"/>
      <c r="F641" s="87"/>
      <c r="G641" s="64"/>
      <c r="H641" s="88"/>
      <c r="I641" s="88"/>
      <c r="J641" s="88"/>
      <c r="K641" s="88"/>
      <c r="L641" s="88"/>
      <c r="M641" s="88"/>
      <c r="N641" s="88"/>
      <c r="O641" s="88"/>
      <c r="P641" s="88"/>
      <c r="Q641" s="62"/>
      <c r="R641" s="62"/>
      <c r="S641" s="63"/>
    </row>
    <row r="642">
      <c r="A642" s="90"/>
      <c r="B642" s="90"/>
      <c r="C642" s="67"/>
      <c r="D642" s="61"/>
      <c r="E642" s="62"/>
      <c r="F642" s="87"/>
      <c r="G642" s="64"/>
      <c r="H642" s="88"/>
      <c r="I642" s="88"/>
      <c r="J642" s="88"/>
      <c r="K642" s="88"/>
      <c r="L642" s="88"/>
      <c r="M642" s="88"/>
      <c r="N642" s="88"/>
      <c r="O642" s="88"/>
      <c r="P642" s="88"/>
      <c r="Q642" s="62"/>
      <c r="R642" s="62"/>
      <c r="S642" s="63"/>
    </row>
    <row r="643">
      <c r="A643" s="90"/>
      <c r="B643" s="90"/>
      <c r="C643" s="67"/>
      <c r="D643" s="61"/>
      <c r="E643" s="62"/>
      <c r="F643" s="87"/>
      <c r="G643" s="64"/>
      <c r="H643" s="88"/>
      <c r="I643" s="88"/>
      <c r="J643" s="88"/>
      <c r="K643" s="88"/>
      <c r="L643" s="88"/>
      <c r="M643" s="88"/>
      <c r="N643" s="88"/>
      <c r="O643" s="88"/>
      <c r="P643" s="88"/>
      <c r="Q643" s="62"/>
      <c r="R643" s="62"/>
      <c r="S643" s="63"/>
    </row>
    <row r="644">
      <c r="A644" s="90"/>
      <c r="B644" s="90"/>
      <c r="C644" s="67"/>
      <c r="D644" s="61"/>
      <c r="E644" s="62"/>
      <c r="F644" s="87"/>
      <c r="G644" s="64"/>
      <c r="H644" s="88"/>
      <c r="I644" s="88"/>
      <c r="J644" s="88"/>
      <c r="K644" s="88"/>
      <c r="L644" s="88"/>
      <c r="M644" s="88"/>
      <c r="N644" s="88"/>
      <c r="O644" s="88"/>
      <c r="P644" s="88"/>
      <c r="Q644" s="62"/>
      <c r="R644" s="62"/>
      <c r="S644" s="63"/>
    </row>
    <row r="645">
      <c r="A645" s="90"/>
      <c r="B645" s="90"/>
      <c r="C645" s="67"/>
      <c r="D645" s="61"/>
      <c r="E645" s="62"/>
      <c r="F645" s="87"/>
      <c r="G645" s="64"/>
      <c r="H645" s="88"/>
      <c r="I645" s="88"/>
      <c r="J645" s="88"/>
      <c r="K645" s="88"/>
      <c r="L645" s="88"/>
      <c r="M645" s="88"/>
      <c r="N645" s="88"/>
      <c r="O645" s="88"/>
      <c r="P645" s="88"/>
      <c r="Q645" s="62"/>
      <c r="R645" s="62"/>
      <c r="S645" s="63"/>
    </row>
    <row r="646">
      <c r="A646" s="90"/>
      <c r="B646" s="90"/>
      <c r="C646" s="67"/>
      <c r="D646" s="61"/>
      <c r="E646" s="62"/>
      <c r="F646" s="87"/>
      <c r="G646" s="64"/>
      <c r="H646" s="88"/>
      <c r="I646" s="88"/>
      <c r="J646" s="88"/>
      <c r="K646" s="88"/>
      <c r="L646" s="88"/>
      <c r="M646" s="88"/>
      <c r="N646" s="88"/>
      <c r="O646" s="88"/>
      <c r="P646" s="88"/>
      <c r="Q646" s="62"/>
      <c r="R646" s="62"/>
      <c r="S646" s="63"/>
    </row>
    <row r="647">
      <c r="A647" s="90"/>
      <c r="B647" s="90"/>
      <c r="C647" s="67"/>
      <c r="D647" s="61"/>
      <c r="E647" s="62"/>
      <c r="F647" s="87"/>
      <c r="G647" s="64"/>
      <c r="H647" s="88"/>
      <c r="I647" s="88"/>
      <c r="J647" s="88"/>
      <c r="K647" s="88"/>
      <c r="L647" s="88"/>
      <c r="M647" s="88"/>
      <c r="N647" s="88"/>
      <c r="O647" s="88"/>
      <c r="P647" s="88"/>
      <c r="Q647" s="62"/>
      <c r="R647" s="62"/>
      <c r="S647" s="63"/>
    </row>
    <row r="648">
      <c r="A648" s="90"/>
      <c r="B648" s="90"/>
      <c r="C648" s="67"/>
      <c r="D648" s="61"/>
      <c r="E648" s="62"/>
      <c r="F648" s="87"/>
      <c r="G648" s="64"/>
      <c r="H648" s="88"/>
      <c r="I648" s="88"/>
      <c r="J648" s="88"/>
      <c r="K648" s="88"/>
      <c r="L648" s="88"/>
      <c r="M648" s="88"/>
      <c r="N648" s="88"/>
      <c r="O648" s="88"/>
      <c r="P648" s="88"/>
      <c r="Q648" s="62"/>
      <c r="R648" s="62"/>
      <c r="S648" s="63"/>
    </row>
    <row r="649">
      <c r="A649" s="90"/>
      <c r="B649" s="90"/>
      <c r="C649" s="67"/>
      <c r="D649" s="61"/>
      <c r="E649" s="62"/>
      <c r="F649" s="87"/>
      <c r="G649" s="64"/>
      <c r="H649" s="88"/>
      <c r="I649" s="88"/>
      <c r="J649" s="88"/>
      <c r="K649" s="88"/>
      <c r="L649" s="88"/>
      <c r="M649" s="88"/>
      <c r="N649" s="88"/>
      <c r="O649" s="88"/>
      <c r="P649" s="88"/>
      <c r="Q649" s="62"/>
      <c r="R649" s="62"/>
      <c r="S649" s="63"/>
    </row>
    <row r="650">
      <c r="A650" s="90"/>
      <c r="B650" s="90"/>
      <c r="C650" s="67"/>
      <c r="D650" s="61"/>
      <c r="E650" s="62"/>
      <c r="F650" s="87"/>
      <c r="G650" s="64"/>
      <c r="H650" s="88"/>
      <c r="I650" s="88"/>
      <c r="J650" s="88"/>
      <c r="K650" s="88"/>
      <c r="L650" s="88"/>
      <c r="M650" s="88"/>
      <c r="N650" s="88"/>
      <c r="O650" s="88"/>
      <c r="P650" s="88"/>
      <c r="Q650" s="62"/>
      <c r="R650" s="62"/>
      <c r="S650" s="63"/>
    </row>
    <row r="651">
      <c r="A651" s="90"/>
      <c r="B651" s="90"/>
      <c r="C651" s="67"/>
      <c r="D651" s="61"/>
      <c r="E651" s="62"/>
      <c r="F651" s="87"/>
      <c r="G651" s="64"/>
      <c r="H651" s="88"/>
      <c r="I651" s="88"/>
      <c r="J651" s="88"/>
      <c r="K651" s="88"/>
      <c r="L651" s="88"/>
      <c r="M651" s="88"/>
      <c r="N651" s="88"/>
      <c r="O651" s="88"/>
      <c r="P651" s="88"/>
      <c r="Q651" s="62"/>
      <c r="R651" s="62"/>
      <c r="S651" s="63"/>
    </row>
    <row r="652">
      <c r="A652" s="90"/>
      <c r="B652" s="90"/>
      <c r="C652" s="67"/>
      <c r="D652" s="61"/>
      <c r="E652" s="62"/>
      <c r="F652" s="87"/>
      <c r="G652" s="64"/>
      <c r="H652" s="88"/>
      <c r="I652" s="88"/>
      <c r="J652" s="88"/>
      <c r="K652" s="88"/>
      <c r="L652" s="88"/>
      <c r="M652" s="88"/>
      <c r="N652" s="88"/>
      <c r="O652" s="88"/>
      <c r="P652" s="88"/>
      <c r="Q652" s="62"/>
      <c r="R652" s="62"/>
      <c r="S652" s="63"/>
    </row>
    <row r="653">
      <c r="A653" s="90"/>
      <c r="B653" s="90"/>
      <c r="C653" s="67"/>
      <c r="D653" s="61"/>
      <c r="E653" s="62"/>
      <c r="F653" s="87"/>
      <c r="G653" s="64"/>
      <c r="H653" s="88"/>
      <c r="I653" s="88"/>
      <c r="J653" s="88"/>
      <c r="K653" s="88"/>
      <c r="L653" s="88"/>
      <c r="M653" s="88"/>
      <c r="N653" s="88"/>
      <c r="O653" s="88"/>
      <c r="P653" s="88"/>
      <c r="Q653" s="62"/>
      <c r="R653" s="62"/>
      <c r="S653" s="63"/>
    </row>
    <row r="654">
      <c r="A654" s="90"/>
      <c r="B654" s="90"/>
      <c r="C654" s="67"/>
      <c r="D654" s="61"/>
      <c r="E654" s="62"/>
      <c r="F654" s="87"/>
      <c r="G654" s="64"/>
      <c r="H654" s="88"/>
      <c r="I654" s="88"/>
      <c r="J654" s="88"/>
      <c r="K654" s="88"/>
      <c r="L654" s="88"/>
      <c r="M654" s="88"/>
      <c r="N654" s="88"/>
      <c r="O654" s="88"/>
      <c r="P654" s="88"/>
      <c r="Q654" s="62"/>
      <c r="R654" s="62"/>
      <c r="S654" s="63"/>
    </row>
    <row r="655">
      <c r="A655" s="90"/>
      <c r="B655" s="90"/>
      <c r="C655" s="67"/>
      <c r="D655" s="61"/>
      <c r="E655" s="62"/>
      <c r="F655" s="87"/>
      <c r="G655" s="64"/>
      <c r="H655" s="88"/>
      <c r="I655" s="88"/>
      <c r="J655" s="88"/>
      <c r="K655" s="88"/>
      <c r="L655" s="88"/>
      <c r="M655" s="88"/>
      <c r="N655" s="88"/>
      <c r="O655" s="88"/>
      <c r="P655" s="88"/>
      <c r="Q655" s="62"/>
      <c r="R655" s="62"/>
      <c r="S655" s="63"/>
    </row>
    <row r="656">
      <c r="A656" s="90"/>
      <c r="B656" s="90"/>
      <c r="C656" s="67"/>
      <c r="D656" s="61"/>
      <c r="E656" s="62"/>
      <c r="F656" s="87"/>
      <c r="G656" s="64"/>
      <c r="H656" s="88"/>
      <c r="I656" s="88"/>
      <c r="J656" s="88"/>
      <c r="K656" s="88"/>
      <c r="L656" s="88"/>
      <c r="M656" s="88"/>
      <c r="N656" s="88"/>
      <c r="O656" s="88"/>
      <c r="P656" s="88"/>
      <c r="Q656" s="62"/>
      <c r="R656" s="62"/>
      <c r="S656" s="63"/>
    </row>
    <row r="657">
      <c r="A657" s="90"/>
      <c r="B657" s="90"/>
      <c r="C657" s="67"/>
      <c r="D657" s="61"/>
      <c r="E657" s="62"/>
      <c r="F657" s="87"/>
      <c r="G657" s="64"/>
      <c r="H657" s="88"/>
      <c r="I657" s="88"/>
      <c r="J657" s="88"/>
      <c r="K657" s="88"/>
      <c r="L657" s="88"/>
      <c r="M657" s="88"/>
      <c r="N657" s="88"/>
      <c r="O657" s="88"/>
      <c r="P657" s="88"/>
      <c r="Q657" s="62"/>
      <c r="R657" s="62"/>
      <c r="S657" s="63"/>
    </row>
    <row r="658">
      <c r="A658" s="90"/>
      <c r="B658" s="90"/>
      <c r="C658" s="67"/>
      <c r="D658" s="61"/>
      <c r="E658" s="62"/>
      <c r="F658" s="87"/>
      <c r="G658" s="64"/>
      <c r="H658" s="88"/>
      <c r="I658" s="88"/>
      <c r="J658" s="88"/>
      <c r="K658" s="88"/>
      <c r="L658" s="88"/>
      <c r="M658" s="88"/>
      <c r="N658" s="88"/>
      <c r="O658" s="88"/>
      <c r="P658" s="88"/>
      <c r="Q658" s="62"/>
      <c r="R658" s="62"/>
      <c r="S658" s="63"/>
    </row>
    <row r="659">
      <c r="A659" s="90"/>
      <c r="B659" s="90"/>
      <c r="C659" s="67"/>
      <c r="D659" s="61"/>
      <c r="E659" s="62"/>
      <c r="F659" s="87"/>
      <c r="G659" s="64"/>
      <c r="H659" s="88"/>
      <c r="I659" s="88"/>
      <c r="J659" s="88"/>
      <c r="K659" s="88"/>
      <c r="L659" s="88"/>
      <c r="M659" s="88"/>
      <c r="N659" s="88"/>
      <c r="O659" s="88"/>
      <c r="P659" s="88"/>
      <c r="Q659" s="62"/>
      <c r="R659" s="62"/>
      <c r="S659" s="63"/>
    </row>
    <row r="660">
      <c r="A660" s="90"/>
      <c r="B660" s="90"/>
      <c r="C660" s="67"/>
      <c r="D660" s="61"/>
      <c r="E660" s="62"/>
      <c r="F660" s="87"/>
      <c r="G660" s="64"/>
      <c r="H660" s="88"/>
      <c r="I660" s="88"/>
      <c r="J660" s="88"/>
      <c r="K660" s="88"/>
      <c r="L660" s="88"/>
      <c r="M660" s="88"/>
      <c r="N660" s="88"/>
      <c r="O660" s="88"/>
      <c r="P660" s="88"/>
      <c r="Q660" s="62"/>
      <c r="R660" s="62"/>
      <c r="S660" s="63"/>
    </row>
    <row r="661">
      <c r="A661" s="90"/>
      <c r="B661" s="90"/>
      <c r="C661" s="67"/>
      <c r="D661" s="61"/>
      <c r="E661" s="62"/>
      <c r="F661" s="87"/>
      <c r="G661" s="64"/>
      <c r="H661" s="88"/>
      <c r="I661" s="88"/>
      <c r="J661" s="88"/>
      <c r="K661" s="88"/>
      <c r="L661" s="88"/>
      <c r="M661" s="88"/>
      <c r="N661" s="88"/>
      <c r="O661" s="88"/>
      <c r="P661" s="88"/>
      <c r="Q661" s="62"/>
      <c r="R661" s="62"/>
      <c r="S661" s="63"/>
    </row>
    <row r="662">
      <c r="A662" s="90"/>
      <c r="B662" s="90"/>
      <c r="C662" s="67"/>
      <c r="D662" s="61"/>
      <c r="E662" s="62"/>
      <c r="F662" s="87"/>
      <c r="G662" s="64"/>
      <c r="H662" s="88"/>
      <c r="I662" s="88"/>
      <c r="J662" s="88"/>
      <c r="K662" s="88"/>
      <c r="L662" s="88"/>
      <c r="M662" s="88"/>
      <c r="N662" s="88"/>
      <c r="O662" s="88"/>
      <c r="P662" s="88"/>
      <c r="Q662" s="62"/>
      <c r="R662" s="62"/>
      <c r="S662" s="63"/>
    </row>
    <row r="663">
      <c r="A663" s="90"/>
      <c r="B663" s="90"/>
      <c r="C663" s="67"/>
      <c r="D663" s="61"/>
      <c r="E663" s="62"/>
      <c r="F663" s="87"/>
      <c r="G663" s="64"/>
      <c r="H663" s="88"/>
      <c r="I663" s="88"/>
      <c r="J663" s="88"/>
      <c r="K663" s="88"/>
      <c r="L663" s="88"/>
      <c r="M663" s="88"/>
      <c r="N663" s="88"/>
      <c r="O663" s="88"/>
      <c r="P663" s="88"/>
      <c r="Q663" s="62"/>
      <c r="R663" s="62"/>
      <c r="S663" s="63"/>
    </row>
    <row r="664">
      <c r="A664" s="90"/>
      <c r="B664" s="90"/>
      <c r="C664" s="67"/>
      <c r="D664" s="61"/>
      <c r="E664" s="62"/>
      <c r="F664" s="87"/>
      <c r="G664" s="64"/>
      <c r="H664" s="88"/>
      <c r="I664" s="88"/>
      <c r="J664" s="88"/>
      <c r="K664" s="88"/>
      <c r="L664" s="88"/>
      <c r="M664" s="88"/>
      <c r="N664" s="88"/>
      <c r="O664" s="88"/>
      <c r="P664" s="88"/>
      <c r="Q664" s="62"/>
      <c r="R664" s="62"/>
      <c r="S664" s="63"/>
    </row>
    <row r="665">
      <c r="A665" s="90"/>
      <c r="B665" s="90"/>
      <c r="C665" s="67"/>
      <c r="D665" s="61"/>
      <c r="E665" s="62"/>
      <c r="F665" s="87"/>
      <c r="G665" s="64"/>
      <c r="H665" s="88"/>
      <c r="I665" s="88"/>
      <c r="J665" s="88"/>
      <c r="K665" s="88"/>
      <c r="L665" s="88"/>
      <c r="M665" s="88"/>
      <c r="N665" s="88"/>
      <c r="O665" s="88"/>
      <c r="P665" s="88"/>
      <c r="Q665" s="62"/>
      <c r="R665" s="62"/>
      <c r="S665" s="63"/>
    </row>
    <row r="666">
      <c r="A666" s="90"/>
      <c r="B666" s="90"/>
      <c r="C666" s="67"/>
      <c r="D666" s="61"/>
      <c r="E666" s="62"/>
      <c r="F666" s="87"/>
      <c r="G666" s="64"/>
      <c r="H666" s="88"/>
      <c r="I666" s="88"/>
      <c r="J666" s="88"/>
      <c r="K666" s="88"/>
      <c r="L666" s="88"/>
      <c r="M666" s="88"/>
      <c r="N666" s="88"/>
      <c r="O666" s="88"/>
      <c r="P666" s="88"/>
      <c r="Q666" s="62"/>
      <c r="R666" s="62"/>
      <c r="S666" s="63"/>
    </row>
    <row r="667">
      <c r="A667" s="90"/>
      <c r="B667" s="90"/>
      <c r="C667" s="67"/>
      <c r="D667" s="61"/>
      <c r="E667" s="62"/>
      <c r="F667" s="87"/>
      <c r="G667" s="64"/>
      <c r="H667" s="88"/>
      <c r="I667" s="88"/>
      <c r="J667" s="88"/>
      <c r="K667" s="88"/>
      <c r="L667" s="88"/>
      <c r="M667" s="88"/>
      <c r="N667" s="88"/>
      <c r="O667" s="88"/>
      <c r="P667" s="88"/>
      <c r="Q667" s="62"/>
      <c r="R667" s="62"/>
      <c r="S667" s="63"/>
    </row>
    <row r="668">
      <c r="A668" s="90"/>
      <c r="B668" s="90"/>
      <c r="C668" s="67"/>
      <c r="D668" s="61"/>
      <c r="E668" s="62"/>
      <c r="F668" s="87"/>
      <c r="G668" s="64"/>
      <c r="H668" s="88"/>
      <c r="I668" s="88"/>
      <c r="J668" s="88"/>
      <c r="K668" s="88"/>
      <c r="L668" s="88"/>
      <c r="M668" s="88"/>
      <c r="N668" s="88"/>
      <c r="O668" s="88"/>
      <c r="P668" s="88"/>
      <c r="Q668" s="62"/>
      <c r="R668" s="62"/>
      <c r="S668" s="63"/>
    </row>
    <row r="669">
      <c r="A669" s="90"/>
      <c r="B669" s="90"/>
      <c r="C669" s="67"/>
      <c r="D669" s="61"/>
      <c r="E669" s="62"/>
      <c r="F669" s="87"/>
      <c r="G669" s="64"/>
      <c r="H669" s="88"/>
      <c r="I669" s="88"/>
      <c r="J669" s="88"/>
      <c r="K669" s="88"/>
      <c r="L669" s="88"/>
      <c r="M669" s="88"/>
      <c r="N669" s="88"/>
      <c r="O669" s="88"/>
      <c r="P669" s="88"/>
      <c r="Q669" s="62"/>
      <c r="R669" s="62"/>
      <c r="S669" s="63"/>
    </row>
    <row r="670">
      <c r="A670" s="90"/>
      <c r="B670" s="90"/>
      <c r="C670" s="67"/>
      <c r="D670" s="61"/>
      <c r="E670" s="62"/>
      <c r="F670" s="87"/>
      <c r="G670" s="64"/>
      <c r="H670" s="88"/>
      <c r="I670" s="88"/>
      <c r="J670" s="88"/>
      <c r="K670" s="88"/>
      <c r="L670" s="88"/>
      <c r="M670" s="88"/>
      <c r="N670" s="88"/>
      <c r="O670" s="88"/>
      <c r="P670" s="88"/>
      <c r="Q670" s="62"/>
      <c r="R670" s="62"/>
      <c r="S670" s="63"/>
    </row>
    <row r="671">
      <c r="A671" s="90"/>
      <c r="B671" s="90"/>
      <c r="C671" s="67"/>
      <c r="D671" s="61"/>
      <c r="E671" s="62"/>
      <c r="F671" s="87"/>
      <c r="G671" s="64"/>
      <c r="H671" s="88"/>
      <c r="I671" s="88"/>
      <c r="J671" s="88"/>
      <c r="K671" s="88"/>
      <c r="L671" s="88"/>
      <c r="M671" s="88"/>
      <c r="N671" s="88"/>
      <c r="O671" s="88"/>
      <c r="P671" s="88"/>
      <c r="Q671" s="62"/>
      <c r="R671" s="62"/>
      <c r="S671" s="63"/>
    </row>
    <row r="672">
      <c r="A672" s="90"/>
      <c r="B672" s="90"/>
      <c r="C672" s="67"/>
      <c r="D672" s="61"/>
      <c r="E672" s="62"/>
      <c r="F672" s="87"/>
      <c r="G672" s="64"/>
      <c r="H672" s="88"/>
      <c r="I672" s="88"/>
      <c r="J672" s="88"/>
      <c r="K672" s="88"/>
      <c r="L672" s="88"/>
      <c r="M672" s="88"/>
      <c r="N672" s="88"/>
      <c r="O672" s="88"/>
      <c r="P672" s="88"/>
      <c r="Q672" s="62"/>
      <c r="R672" s="62"/>
      <c r="S672" s="63"/>
    </row>
    <row r="673">
      <c r="A673" s="90"/>
      <c r="B673" s="90"/>
      <c r="C673" s="67"/>
      <c r="D673" s="61"/>
      <c r="E673" s="62"/>
      <c r="F673" s="87"/>
      <c r="G673" s="64"/>
      <c r="H673" s="88"/>
      <c r="I673" s="88"/>
      <c r="J673" s="88"/>
      <c r="K673" s="88"/>
      <c r="L673" s="88"/>
      <c r="M673" s="88"/>
      <c r="N673" s="88"/>
      <c r="O673" s="88"/>
      <c r="P673" s="88"/>
      <c r="Q673" s="62"/>
      <c r="R673" s="62"/>
      <c r="S673" s="63"/>
    </row>
    <row r="674">
      <c r="A674" s="90"/>
      <c r="B674" s="90"/>
      <c r="C674" s="67"/>
      <c r="D674" s="61"/>
      <c r="E674" s="62"/>
      <c r="F674" s="87"/>
      <c r="G674" s="64"/>
      <c r="H674" s="88"/>
      <c r="I674" s="88"/>
      <c r="J674" s="88"/>
      <c r="K674" s="88"/>
      <c r="L674" s="88"/>
      <c r="M674" s="88"/>
      <c r="N674" s="88"/>
      <c r="O674" s="88"/>
      <c r="P674" s="88"/>
      <c r="Q674" s="62"/>
      <c r="R674" s="62"/>
      <c r="S674" s="63"/>
    </row>
    <row r="675">
      <c r="A675" s="90"/>
      <c r="B675" s="90"/>
      <c r="C675" s="67"/>
      <c r="D675" s="61"/>
      <c r="E675" s="62"/>
      <c r="F675" s="87"/>
      <c r="G675" s="64"/>
      <c r="H675" s="88"/>
      <c r="I675" s="88"/>
      <c r="J675" s="88"/>
      <c r="K675" s="88"/>
      <c r="L675" s="88"/>
      <c r="M675" s="88"/>
      <c r="N675" s="88"/>
      <c r="O675" s="88"/>
      <c r="P675" s="88"/>
      <c r="Q675" s="62"/>
      <c r="R675" s="62"/>
      <c r="S675" s="63"/>
    </row>
    <row r="676">
      <c r="A676" s="90"/>
      <c r="B676" s="90"/>
      <c r="C676" s="67"/>
      <c r="D676" s="61"/>
      <c r="E676" s="62"/>
      <c r="F676" s="87"/>
      <c r="G676" s="64"/>
      <c r="H676" s="88"/>
      <c r="I676" s="88"/>
      <c r="J676" s="88"/>
      <c r="K676" s="88"/>
      <c r="L676" s="88"/>
      <c r="M676" s="88"/>
      <c r="N676" s="88"/>
      <c r="O676" s="88"/>
      <c r="P676" s="88"/>
      <c r="Q676" s="62"/>
      <c r="R676" s="62"/>
      <c r="S676" s="63"/>
    </row>
    <row r="677">
      <c r="A677" s="90"/>
      <c r="B677" s="90"/>
      <c r="C677" s="67"/>
      <c r="D677" s="61"/>
      <c r="E677" s="62"/>
      <c r="F677" s="87"/>
      <c r="G677" s="64"/>
      <c r="H677" s="88"/>
      <c r="I677" s="88"/>
      <c r="J677" s="88"/>
      <c r="K677" s="88"/>
      <c r="L677" s="88"/>
      <c r="M677" s="88"/>
      <c r="N677" s="88"/>
      <c r="O677" s="88"/>
      <c r="P677" s="88"/>
      <c r="Q677" s="62"/>
      <c r="R677" s="62"/>
      <c r="S677" s="63"/>
    </row>
    <row r="678">
      <c r="A678" s="90"/>
      <c r="B678" s="90"/>
      <c r="C678" s="67"/>
      <c r="D678" s="61"/>
      <c r="E678" s="62"/>
      <c r="F678" s="87"/>
      <c r="G678" s="64"/>
      <c r="H678" s="88"/>
      <c r="I678" s="88"/>
      <c r="J678" s="88"/>
      <c r="K678" s="88"/>
      <c r="L678" s="88"/>
      <c r="M678" s="88"/>
      <c r="N678" s="88"/>
      <c r="O678" s="88"/>
      <c r="P678" s="88"/>
      <c r="Q678" s="62"/>
      <c r="R678" s="62"/>
      <c r="S678" s="63"/>
    </row>
    <row r="679">
      <c r="A679" s="90"/>
      <c r="B679" s="90"/>
      <c r="C679" s="67"/>
      <c r="D679" s="61"/>
      <c r="E679" s="62"/>
      <c r="F679" s="87"/>
      <c r="G679" s="64"/>
      <c r="H679" s="88"/>
      <c r="I679" s="88"/>
      <c r="J679" s="88"/>
      <c r="K679" s="88"/>
      <c r="L679" s="88"/>
      <c r="M679" s="88"/>
      <c r="N679" s="88"/>
      <c r="O679" s="88"/>
      <c r="P679" s="88"/>
      <c r="Q679" s="62"/>
      <c r="R679" s="62"/>
      <c r="S679" s="63"/>
    </row>
    <row r="680">
      <c r="A680" s="90"/>
      <c r="B680" s="90"/>
      <c r="C680" s="67"/>
      <c r="D680" s="61"/>
      <c r="E680" s="62"/>
      <c r="F680" s="87"/>
      <c r="G680" s="64"/>
      <c r="H680" s="88"/>
      <c r="I680" s="88"/>
      <c r="J680" s="88"/>
      <c r="K680" s="88"/>
      <c r="L680" s="88"/>
      <c r="M680" s="88"/>
      <c r="N680" s="88"/>
      <c r="O680" s="88"/>
      <c r="P680" s="88"/>
      <c r="Q680" s="62"/>
      <c r="R680" s="62"/>
      <c r="S680" s="63"/>
    </row>
    <row r="681">
      <c r="A681" s="90"/>
      <c r="B681" s="90"/>
      <c r="C681" s="67"/>
      <c r="D681" s="61"/>
      <c r="E681" s="62"/>
      <c r="F681" s="87"/>
      <c r="G681" s="64"/>
      <c r="H681" s="88"/>
      <c r="I681" s="88"/>
      <c r="J681" s="88"/>
      <c r="K681" s="88"/>
      <c r="L681" s="88"/>
      <c r="M681" s="88"/>
      <c r="N681" s="88"/>
      <c r="O681" s="88"/>
      <c r="P681" s="88"/>
      <c r="Q681" s="62"/>
      <c r="R681" s="62"/>
      <c r="S681" s="63"/>
    </row>
    <row r="682">
      <c r="A682" s="90"/>
      <c r="B682" s="90"/>
      <c r="C682" s="67"/>
      <c r="D682" s="61"/>
      <c r="E682" s="62"/>
      <c r="F682" s="87"/>
      <c r="G682" s="64"/>
      <c r="H682" s="88"/>
      <c r="I682" s="88"/>
      <c r="J682" s="88"/>
      <c r="K682" s="88"/>
      <c r="L682" s="88"/>
      <c r="M682" s="88"/>
      <c r="N682" s="88"/>
      <c r="O682" s="88"/>
      <c r="P682" s="88"/>
      <c r="Q682" s="62"/>
      <c r="R682" s="62"/>
      <c r="S682" s="63"/>
    </row>
    <row r="683">
      <c r="A683" s="90"/>
      <c r="B683" s="90"/>
      <c r="C683" s="67"/>
      <c r="D683" s="61"/>
      <c r="E683" s="62"/>
      <c r="F683" s="87"/>
      <c r="G683" s="64"/>
      <c r="H683" s="88"/>
      <c r="I683" s="88"/>
      <c r="J683" s="88"/>
      <c r="K683" s="88"/>
      <c r="L683" s="88"/>
      <c r="M683" s="88"/>
      <c r="N683" s="88"/>
      <c r="O683" s="88"/>
      <c r="P683" s="88"/>
      <c r="Q683" s="62"/>
      <c r="R683" s="62"/>
      <c r="S683" s="63"/>
    </row>
    <row r="684">
      <c r="A684" s="90"/>
      <c r="B684" s="90"/>
      <c r="C684" s="67"/>
      <c r="D684" s="61"/>
      <c r="E684" s="62"/>
      <c r="F684" s="87"/>
      <c r="G684" s="64"/>
      <c r="H684" s="88"/>
      <c r="I684" s="88"/>
      <c r="J684" s="88"/>
      <c r="K684" s="88"/>
      <c r="L684" s="88"/>
      <c r="M684" s="88"/>
      <c r="N684" s="88"/>
      <c r="O684" s="88"/>
      <c r="P684" s="88"/>
      <c r="Q684" s="62"/>
      <c r="R684" s="62"/>
      <c r="S684" s="63"/>
    </row>
    <row r="685">
      <c r="A685" s="90"/>
      <c r="B685" s="90"/>
      <c r="C685" s="67"/>
      <c r="D685" s="61"/>
      <c r="E685" s="62"/>
      <c r="F685" s="87"/>
      <c r="G685" s="64"/>
      <c r="H685" s="88"/>
      <c r="I685" s="88"/>
      <c r="J685" s="88"/>
      <c r="K685" s="88"/>
      <c r="L685" s="88"/>
      <c r="M685" s="88"/>
      <c r="N685" s="88"/>
      <c r="O685" s="88"/>
      <c r="P685" s="88"/>
      <c r="Q685" s="62"/>
      <c r="R685" s="62"/>
      <c r="S685" s="63"/>
    </row>
    <row r="686">
      <c r="A686" s="90"/>
      <c r="B686" s="90"/>
      <c r="C686" s="67"/>
      <c r="D686" s="61"/>
      <c r="E686" s="62"/>
      <c r="F686" s="87"/>
      <c r="G686" s="64"/>
      <c r="H686" s="88"/>
      <c r="I686" s="88"/>
      <c r="J686" s="88"/>
      <c r="K686" s="88"/>
      <c r="L686" s="88"/>
      <c r="M686" s="88"/>
      <c r="N686" s="88"/>
      <c r="O686" s="88"/>
      <c r="P686" s="88"/>
      <c r="Q686" s="62"/>
      <c r="R686" s="62"/>
      <c r="S686" s="63"/>
    </row>
    <row r="687">
      <c r="A687" s="90"/>
      <c r="B687" s="90"/>
      <c r="C687" s="67"/>
      <c r="D687" s="61"/>
      <c r="E687" s="62"/>
      <c r="F687" s="87"/>
      <c r="G687" s="64"/>
      <c r="H687" s="88"/>
      <c r="I687" s="88"/>
      <c r="J687" s="88"/>
      <c r="K687" s="88"/>
      <c r="L687" s="88"/>
      <c r="M687" s="88"/>
      <c r="N687" s="88"/>
      <c r="O687" s="88"/>
      <c r="P687" s="88"/>
      <c r="Q687" s="62"/>
      <c r="R687" s="62"/>
      <c r="S687" s="63"/>
    </row>
    <row r="688">
      <c r="A688" s="90"/>
      <c r="B688" s="90"/>
      <c r="C688" s="67"/>
      <c r="D688" s="61"/>
      <c r="E688" s="62"/>
      <c r="F688" s="87"/>
      <c r="G688" s="64"/>
      <c r="H688" s="88"/>
      <c r="I688" s="88"/>
      <c r="J688" s="88"/>
      <c r="K688" s="88"/>
      <c r="L688" s="88"/>
      <c r="M688" s="88"/>
      <c r="N688" s="88"/>
      <c r="O688" s="88"/>
      <c r="P688" s="88"/>
      <c r="Q688" s="62"/>
      <c r="R688" s="62"/>
      <c r="S688" s="63"/>
    </row>
    <row r="689">
      <c r="A689" s="90"/>
      <c r="B689" s="90"/>
      <c r="C689" s="67"/>
      <c r="D689" s="61"/>
      <c r="E689" s="62"/>
      <c r="F689" s="87"/>
      <c r="G689" s="64"/>
      <c r="H689" s="88"/>
      <c r="I689" s="88"/>
      <c r="J689" s="88"/>
      <c r="K689" s="88"/>
      <c r="L689" s="88"/>
      <c r="M689" s="88"/>
      <c r="N689" s="88"/>
      <c r="O689" s="88"/>
      <c r="P689" s="88"/>
      <c r="Q689" s="62"/>
      <c r="R689" s="62"/>
      <c r="S689" s="63"/>
    </row>
    <row r="690">
      <c r="A690" s="90"/>
      <c r="B690" s="90"/>
      <c r="C690" s="67"/>
      <c r="D690" s="61"/>
      <c r="E690" s="62"/>
      <c r="F690" s="87"/>
      <c r="G690" s="64"/>
      <c r="H690" s="88"/>
      <c r="I690" s="88"/>
      <c r="J690" s="88"/>
      <c r="K690" s="88"/>
      <c r="L690" s="88"/>
      <c r="M690" s="88"/>
      <c r="N690" s="88"/>
      <c r="O690" s="88"/>
      <c r="P690" s="88"/>
      <c r="Q690" s="62"/>
      <c r="R690" s="62"/>
      <c r="S690" s="63"/>
    </row>
    <row r="691">
      <c r="A691" s="90"/>
      <c r="B691" s="90"/>
      <c r="C691" s="67"/>
      <c r="D691" s="61"/>
      <c r="E691" s="62"/>
      <c r="F691" s="87"/>
      <c r="G691" s="64"/>
      <c r="H691" s="88"/>
      <c r="I691" s="88"/>
      <c r="J691" s="88"/>
      <c r="K691" s="88"/>
      <c r="L691" s="88"/>
      <c r="M691" s="88"/>
      <c r="N691" s="88"/>
      <c r="O691" s="88"/>
      <c r="P691" s="88"/>
      <c r="Q691" s="62"/>
      <c r="R691" s="62"/>
      <c r="S691" s="63"/>
    </row>
    <row r="692">
      <c r="A692" s="90"/>
      <c r="B692" s="90"/>
      <c r="C692" s="67"/>
      <c r="D692" s="61"/>
      <c r="E692" s="62"/>
      <c r="F692" s="87"/>
      <c r="G692" s="64"/>
      <c r="H692" s="88"/>
      <c r="I692" s="88"/>
      <c r="J692" s="88"/>
      <c r="K692" s="88"/>
      <c r="L692" s="88"/>
      <c r="M692" s="88"/>
      <c r="N692" s="88"/>
      <c r="O692" s="88"/>
      <c r="P692" s="88"/>
      <c r="Q692" s="62"/>
      <c r="R692" s="62"/>
      <c r="S692" s="63"/>
    </row>
    <row r="693">
      <c r="A693" s="90"/>
      <c r="B693" s="90"/>
      <c r="C693" s="67"/>
      <c r="D693" s="61"/>
      <c r="E693" s="62"/>
      <c r="F693" s="87"/>
      <c r="G693" s="64"/>
      <c r="H693" s="88"/>
      <c r="I693" s="88"/>
      <c r="J693" s="88"/>
      <c r="K693" s="88"/>
      <c r="L693" s="88"/>
      <c r="M693" s="88"/>
      <c r="N693" s="88"/>
      <c r="O693" s="88"/>
      <c r="P693" s="88"/>
      <c r="Q693" s="62"/>
      <c r="R693" s="62"/>
      <c r="S693" s="63"/>
    </row>
    <row r="694">
      <c r="A694" s="90"/>
      <c r="B694" s="90"/>
      <c r="C694" s="67"/>
      <c r="D694" s="61"/>
      <c r="E694" s="62"/>
      <c r="F694" s="87"/>
      <c r="G694" s="64"/>
      <c r="H694" s="88"/>
      <c r="I694" s="88"/>
      <c r="J694" s="88"/>
      <c r="K694" s="88"/>
      <c r="L694" s="88"/>
      <c r="M694" s="88"/>
      <c r="N694" s="88"/>
      <c r="O694" s="88"/>
      <c r="P694" s="88"/>
      <c r="Q694" s="62"/>
      <c r="R694" s="62"/>
      <c r="S694" s="63"/>
    </row>
    <row r="695">
      <c r="A695" s="90"/>
      <c r="B695" s="90"/>
      <c r="C695" s="67"/>
      <c r="D695" s="61"/>
      <c r="E695" s="62"/>
      <c r="F695" s="87"/>
      <c r="G695" s="64"/>
      <c r="H695" s="88"/>
      <c r="I695" s="88"/>
      <c r="J695" s="88"/>
      <c r="K695" s="88"/>
      <c r="L695" s="88"/>
      <c r="M695" s="88"/>
      <c r="N695" s="88"/>
      <c r="O695" s="88"/>
      <c r="P695" s="88"/>
      <c r="Q695" s="62"/>
      <c r="R695" s="62"/>
      <c r="S695" s="63"/>
    </row>
    <row r="696">
      <c r="A696" s="90"/>
      <c r="B696" s="90"/>
      <c r="C696" s="67"/>
      <c r="D696" s="61"/>
      <c r="E696" s="62"/>
      <c r="F696" s="87"/>
      <c r="G696" s="64"/>
      <c r="H696" s="88"/>
      <c r="I696" s="88"/>
      <c r="J696" s="88"/>
      <c r="K696" s="88"/>
      <c r="L696" s="88"/>
      <c r="M696" s="88"/>
      <c r="N696" s="88"/>
      <c r="O696" s="88"/>
      <c r="P696" s="88"/>
      <c r="Q696" s="62"/>
      <c r="R696" s="62"/>
      <c r="S696" s="63"/>
    </row>
    <row r="697">
      <c r="A697" s="90"/>
      <c r="B697" s="90"/>
      <c r="C697" s="67"/>
      <c r="D697" s="61"/>
      <c r="E697" s="62"/>
      <c r="F697" s="87"/>
      <c r="G697" s="64"/>
      <c r="H697" s="88"/>
      <c r="I697" s="88"/>
      <c r="J697" s="88"/>
      <c r="K697" s="88"/>
      <c r="L697" s="88"/>
      <c r="M697" s="88"/>
      <c r="N697" s="88"/>
      <c r="O697" s="88"/>
      <c r="P697" s="88"/>
      <c r="Q697" s="62"/>
      <c r="R697" s="62"/>
      <c r="S697" s="63"/>
    </row>
    <row r="698">
      <c r="A698" s="90"/>
      <c r="B698" s="90"/>
      <c r="C698" s="67"/>
      <c r="D698" s="61"/>
      <c r="E698" s="62"/>
      <c r="F698" s="87"/>
      <c r="G698" s="64"/>
      <c r="H698" s="88"/>
      <c r="I698" s="88"/>
      <c r="J698" s="88"/>
      <c r="K698" s="88"/>
      <c r="L698" s="88"/>
      <c r="M698" s="88"/>
      <c r="N698" s="88"/>
      <c r="O698" s="88"/>
      <c r="P698" s="88"/>
      <c r="Q698" s="62"/>
      <c r="R698" s="62"/>
      <c r="S698" s="63"/>
    </row>
    <row r="699">
      <c r="A699" s="90"/>
      <c r="B699" s="90"/>
      <c r="C699" s="67"/>
      <c r="D699" s="61"/>
      <c r="E699" s="62"/>
      <c r="F699" s="87"/>
      <c r="G699" s="64"/>
      <c r="H699" s="88"/>
      <c r="I699" s="88"/>
      <c r="J699" s="88"/>
      <c r="K699" s="88"/>
      <c r="L699" s="88"/>
      <c r="M699" s="88"/>
      <c r="N699" s="88"/>
      <c r="O699" s="88"/>
      <c r="P699" s="88"/>
      <c r="Q699" s="62"/>
      <c r="R699" s="62"/>
      <c r="S699" s="63"/>
    </row>
    <row r="700">
      <c r="A700" s="90"/>
      <c r="B700" s="90"/>
      <c r="C700" s="67"/>
      <c r="D700" s="61"/>
      <c r="E700" s="62"/>
      <c r="F700" s="87"/>
      <c r="G700" s="64"/>
      <c r="H700" s="88"/>
      <c r="I700" s="88"/>
      <c r="J700" s="88"/>
      <c r="K700" s="88"/>
      <c r="L700" s="88"/>
      <c r="M700" s="88"/>
      <c r="N700" s="88"/>
      <c r="O700" s="88"/>
      <c r="P700" s="88"/>
      <c r="Q700" s="62"/>
      <c r="R700" s="62"/>
      <c r="S700" s="63"/>
    </row>
    <row r="701">
      <c r="A701" s="90"/>
      <c r="B701" s="90"/>
      <c r="C701" s="67"/>
      <c r="D701" s="61"/>
      <c r="E701" s="62"/>
      <c r="F701" s="87"/>
      <c r="G701" s="64"/>
      <c r="H701" s="88"/>
      <c r="I701" s="88"/>
      <c r="J701" s="88"/>
      <c r="K701" s="88"/>
      <c r="L701" s="88"/>
      <c r="M701" s="88"/>
      <c r="N701" s="88"/>
      <c r="O701" s="88"/>
      <c r="P701" s="88"/>
      <c r="Q701" s="62"/>
      <c r="R701" s="62"/>
      <c r="S701" s="63"/>
    </row>
    <row r="702">
      <c r="A702" s="90"/>
      <c r="B702" s="90"/>
      <c r="C702" s="67"/>
      <c r="D702" s="61"/>
      <c r="E702" s="62"/>
      <c r="F702" s="87"/>
      <c r="G702" s="64"/>
      <c r="H702" s="88"/>
      <c r="I702" s="88"/>
      <c r="J702" s="88"/>
      <c r="K702" s="88"/>
      <c r="L702" s="88"/>
      <c r="M702" s="88"/>
      <c r="N702" s="88"/>
      <c r="O702" s="88"/>
      <c r="P702" s="88"/>
      <c r="Q702" s="62"/>
      <c r="R702" s="62"/>
      <c r="S702" s="63"/>
    </row>
    <row r="703">
      <c r="A703" s="90"/>
      <c r="B703" s="90"/>
      <c r="C703" s="67"/>
      <c r="D703" s="61"/>
      <c r="E703" s="62"/>
      <c r="F703" s="87"/>
      <c r="G703" s="64"/>
      <c r="H703" s="88"/>
      <c r="I703" s="88"/>
      <c r="J703" s="88"/>
      <c r="K703" s="88"/>
      <c r="L703" s="88"/>
      <c r="M703" s="88"/>
      <c r="N703" s="88"/>
      <c r="O703" s="88"/>
      <c r="P703" s="88"/>
      <c r="Q703" s="62"/>
      <c r="R703" s="62"/>
      <c r="S703" s="63"/>
    </row>
    <row r="704">
      <c r="A704" s="90"/>
      <c r="B704" s="90"/>
      <c r="C704" s="67"/>
      <c r="D704" s="61"/>
      <c r="E704" s="62"/>
      <c r="F704" s="87"/>
      <c r="G704" s="64"/>
      <c r="H704" s="88"/>
      <c r="I704" s="88"/>
      <c r="J704" s="88"/>
      <c r="K704" s="88"/>
      <c r="L704" s="88"/>
      <c r="M704" s="88"/>
      <c r="N704" s="88"/>
      <c r="O704" s="88"/>
      <c r="P704" s="88"/>
      <c r="Q704" s="62"/>
      <c r="R704" s="62"/>
      <c r="S704" s="63"/>
    </row>
    <row r="705">
      <c r="A705" s="90"/>
      <c r="B705" s="90"/>
      <c r="C705" s="67"/>
      <c r="D705" s="61"/>
      <c r="E705" s="62"/>
      <c r="F705" s="87"/>
      <c r="G705" s="64"/>
      <c r="H705" s="88"/>
      <c r="I705" s="88"/>
      <c r="J705" s="88"/>
      <c r="K705" s="88"/>
      <c r="L705" s="88"/>
      <c r="M705" s="88"/>
      <c r="N705" s="88"/>
      <c r="O705" s="88"/>
      <c r="P705" s="88"/>
      <c r="Q705" s="62"/>
      <c r="R705" s="62"/>
      <c r="S705" s="63"/>
    </row>
    <row r="706">
      <c r="A706" s="90"/>
      <c r="B706" s="90"/>
      <c r="C706" s="67"/>
      <c r="D706" s="61"/>
      <c r="E706" s="62"/>
      <c r="F706" s="87"/>
      <c r="G706" s="64"/>
      <c r="H706" s="88"/>
      <c r="I706" s="88"/>
      <c r="J706" s="88"/>
      <c r="K706" s="88"/>
      <c r="L706" s="88"/>
      <c r="M706" s="88"/>
      <c r="N706" s="88"/>
      <c r="O706" s="88"/>
      <c r="P706" s="88"/>
      <c r="Q706" s="62"/>
      <c r="R706" s="62"/>
      <c r="S706" s="63"/>
    </row>
    <row r="707">
      <c r="A707" s="90"/>
      <c r="B707" s="90"/>
      <c r="C707" s="67"/>
      <c r="D707" s="61"/>
      <c r="E707" s="62"/>
      <c r="F707" s="87"/>
      <c r="G707" s="64"/>
      <c r="H707" s="88"/>
      <c r="I707" s="88"/>
      <c r="J707" s="88"/>
      <c r="K707" s="88"/>
      <c r="L707" s="88"/>
      <c r="M707" s="88"/>
      <c r="N707" s="88"/>
      <c r="O707" s="88"/>
      <c r="P707" s="88"/>
      <c r="Q707" s="62"/>
      <c r="R707" s="62"/>
      <c r="S707" s="63"/>
    </row>
    <row r="708">
      <c r="A708" s="90"/>
      <c r="B708" s="90"/>
      <c r="C708" s="67"/>
      <c r="D708" s="61"/>
      <c r="E708" s="62"/>
      <c r="F708" s="87"/>
      <c r="G708" s="64"/>
      <c r="H708" s="88"/>
      <c r="I708" s="88"/>
      <c r="J708" s="88"/>
      <c r="K708" s="88"/>
      <c r="L708" s="88"/>
      <c r="M708" s="88"/>
      <c r="N708" s="88"/>
      <c r="O708" s="88"/>
      <c r="P708" s="88"/>
      <c r="Q708" s="62"/>
      <c r="R708" s="62"/>
      <c r="S708" s="63"/>
    </row>
    <row r="709">
      <c r="A709" s="90"/>
      <c r="B709" s="90"/>
      <c r="C709" s="67"/>
      <c r="D709" s="61"/>
      <c r="E709" s="62"/>
      <c r="F709" s="87"/>
      <c r="G709" s="64"/>
      <c r="H709" s="88"/>
      <c r="I709" s="88"/>
      <c r="J709" s="88"/>
      <c r="K709" s="88"/>
      <c r="L709" s="88"/>
      <c r="M709" s="88"/>
      <c r="N709" s="88"/>
      <c r="O709" s="88"/>
      <c r="P709" s="88"/>
      <c r="Q709" s="62"/>
      <c r="R709" s="62"/>
      <c r="S709" s="63"/>
    </row>
    <row r="710">
      <c r="A710" s="90"/>
      <c r="B710" s="90"/>
      <c r="C710" s="67"/>
      <c r="D710" s="61"/>
      <c r="E710" s="62"/>
      <c r="F710" s="87"/>
      <c r="G710" s="64"/>
      <c r="H710" s="88"/>
      <c r="I710" s="88"/>
      <c r="J710" s="88"/>
      <c r="K710" s="88"/>
      <c r="L710" s="88"/>
      <c r="M710" s="88"/>
      <c r="N710" s="88"/>
      <c r="O710" s="88"/>
      <c r="P710" s="88"/>
      <c r="Q710" s="62"/>
      <c r="R710" s="62"/>
      <c r="S710" s="63"/>
    </row>
    <row r="711">
      <c r="A711" s="90"/>
      <c r="B711" s="90"/>
      <c r="C711" s="67"/>
      <c r="D711" s="61"/>
      <c r="E711" s="62"/>
      <c r="F711" s="87"/>
      <c r="G711" s="64"/>
      <c r="H711" s="88"/>
      <c r="I711" s="88"/>
      <c r="J711" s="88"/>
      <c r="K711" s="88"/>
      <c r="L711" s="88"/>
      <c r="M711" s="88"/>
      <c r="N711" s="88"/>
      <c r="O711" s="88"/>
      <c r="P711" s="88"/>
      <c r="Q711" s="62"/>
      <c r="R711" s="62"/>
      <c r="S711" s="63"/>
    </row>
    <row r="712">
      <c r="A712" s="90"/>
      <c r="B712" s="90"/>
      <c r="C712" s="67"/>
      <c r="D712" s="61"/>
      <c r="E712" s="62"/>
      <c r="F712" s="87"/>
      <c r="G712" s="64"/>
      <c r="H712" s="88"/>
      <c r="I712" s="88"/>
      <c r="J712" s="88"/>
      <c r="K712" s="88"/>
      <c r="L712" s="88"/>
      <c r="M712" s="88"/>
      <c r="N712" s="88"/>
      <c r="O712" s="88"/>
      <c r="P712" s="88"/>
      <c r="Q712" s="62"/>
      <c r="R712" s="62"/>
      <c r="S712" s="63"/>
    </row>
    <row r="713">
      <c r="A713" s="90"/>
      <c r="B713" s="90"/>
      <c r="C713" s="67"/>
      <c r="D713" s="61"/>
      <c r="E713" s="62"/>
      <c r="F713" s="87"/>
      <c r="G713" s="64"/>
      <c r="H713" s="88"/>
      <c r="I713" s="88"/>
      <c r="J713" s="88"/>
      <c r="K713" s="88"/>
      <c r="L713" s="88"/>
      <c r="M713" s="88"/>
      <c r="N713" s="88"/>
      <c r="O713" s="88"/>
      <c r="P713" s="88"/>
      <c r="Q713" s="62"/>
      <c r="R713" s="62"/>
      <c r="S713" s="63"/>
    </row>
    <row r="714">
      <c r="A714" s="90"/>
      <c r="B714" s="90"/>
      <c r="C714" s="67"/>
      <c r="D714" s="61"/>
      <c r="E714" s="62"/>
      <c r="F714" s="87"/>
      <c r="G714" s="64"/>
      <c r="H714" s="88"/>
      <c r="I714" s="88"/>
      <c r="J714" s="88"/>
      <c r="K714" s="88"/>
      <c r="L714" s="88"/>
      <c r="M714" s="88"/>
      <c r="N714" s="88"/>
      <c r="O714" s="88"/>
      <c r="P714" s="88"/>
      <c r="Q714" s="62"/>
      <c r="R714" s="62"/>
      <c r="S714" s="63"/>
    </row>
    <row r="715">
      <c r="A715" s="90"/>
      <c r="B715" s="90"/>
      <c r="C715" s="67"/>
      <c r="D715" s="61"/>
      <c r="E715" s="62"/>
      <c r="F715" s="87"/>
      <c r="G715" s="64"/>
      <c r="H715" s="88"/>
      <c r="I715" s="88"/>
      <c r="J715" s="88"/>
      <c r="K715" s="88"/>
      <c r="L715" s="88"/>
      <c r="M715" s="88"/>
      <c r="N715" s="88"/>
      <c r="O715" s="88"/>
      <c r="P715" s="88"/>
      <c r="Q715" s="62"/>
      <c r="R715" s="62"/>
      <c r="S715" s="63"/>
    </row>
    <row r="716">
      <c r="A716" s="90"/>
      <c r="B716" s="90"/>
      <c r="C716" s="67"/>
      <c r="D716" s="61"/>
      <c r="E716" s="62"/>
      <c r="F716" s="87"/>
      <c r="G716" s="64"/>
      <c r="H716" s="88"/>
      <c r="I716" s="88"/>
      <c r="J716" s="88"/>
      <c r="K716" s="88"/>
      <c r="L716" s="88"/>
      <c r="M716" s="88"/>
      <c r="N716" s="88"/>
      <c r="O716" s="88"/>
      <c r="P716" s="88"/>
      <c r="Q716" s="62"/>
      <c r="R716" s="62"/>
      <c r="S716" s="63"/>
    </row>
    <row r="717">
      <c r="A717" s="90"/>
      <c r="B717" s="90"/>
      <c r="C717" s="67"/>
      <c r="D717" s="61"/>
      <c r="E717" s="62"/>
      <c r="F717" s="87"/>
      <c r="G717" s="64"/>
      <c r="H717" s="88"/>
      <c r="I717" s="88"/>
      <c r="J717" s="88"/>
      <c r="K717" s="88"/>
      <c r="L717" s="88"/>
      <c r="M717" s="88"/>
      <c r="N717" s="88"/>
      <c r="O717" s="88"/>
      <c r="P717" s="88"/>
      <c r="Q717" s="62"/>
      <c r="R717" s="62"/>
      <c r="S717" s="63"/>
    </row>
    <row r="718">
      <c r="A718" s="90"/>
      <c r="B718" s="90"/>
      <c r="C718" s="67"/>
      <c r="D718" s="61"/>
      <c r="E718" s="62"/>
      <c r="F718" s="87"/>
      <c r="G718" s="64"/>
      <c r="H718" s="88"/>
      <c r="I718" s="88"/>
      <c r="J718" s="88"/>
      <c r="K718" s="88"/>
      <c r="L718" s="88"/>
      <c r="M718" s="88"/>
      <c r="N718" s="88"/>
      <c r="O718" s="88"/>
      <c r="P718" s="88"/>
      <c r="Q718" s="62"/>
      <c r="R718" s="62"/>
      <c r="S718" s="63"/>
    </row>
    <row r="719">
      <c r="A719" s="90"/>
      <c r="B719" s="90"/>
      <c r="C719" s="67"/>
      <c r="D719" s="61"/>
      <c r="E719" s="62"/>
      <c r="F719" s="87"/>
      <c r="G719" s="64"/>
      <c r="H719" s="88"/>
      <c r="I719" s="88"/>
      <c r="J719" s="88"/>
      <c r="K719" s="88"/>
      <c r="L719" s="88"/>
      <c r="M719" s="88"/>
      <c r="N719" s="88"/>
      <c r="O719" s="88"/>
      <c r="P719" s="88"/>
      <c r="Q719" s="62"/>
      <c r="R719" s="62"/>
      <c r="S719" s="63"/>
    </row>
    <row r="720">
      <c r="A720" s="90"/>
      <c r="B720" s="90"/>
      <c r="C720" s="67"/>
      <c r="D720" s="61"/>
      <c r="E720" s="62"/>
      <c r="F720" s="87"/>
      <c r="G720" s="64"/>
      <c r="H720" s="88"/>
      <c r="I720" s="88"/>
      <c r="J720" s="88"/>
      <c r="K720" s="88"/>
      <c r="L720" s="88"/>
      <c r="M720" s="88"/>
      <c r="N720" s="88"/>
      <c r="O720" s="88"/>
      <c r="P720" s="88"/>
      <c r="Q720" s="62"/>
      <c r="R720" s="62"/>
      <c r="S720" s="63"/>
    </row>
    <row r="721">
      <c r="A721" s="90"/>
      <c r="B721" s="90"/>
      <c r="C721" s="67"/>
      <c r="D721" s="61"/>
      <c r="E721" s="62"/>
      <c r="F721" s="87"/>
      <c r="G721" s="64"/>
      <c r="H721" s="88"/>
      <c r="I721" s="88"/>
      <c r="J721" s="88"/>
      <c r="K721" s="88"/>
      <c r="L721" s="88"/>
      <c r="M721" s="88"/>
      <c r="N721" s="88"/>
      <c r="O721" s="88"/>
      <c r="P721" s="88"/>
      <c r="Q721" s="62"/>
      <c r="R721" s="62"/>
      <c r="S721" s="63"/>
    </row>
    <row r="722">
      <c r="A722" s="90"/>
      <c r="B722" s="90"/>
      <c r="C722" s="67"/>
      <c r="D722" s="61"/>
      <c r="E722" s="62"/>
      <c r="F722" s="87"/>
      <c r="G722" s="64"/>
      <c r="H722" s="88"/>
      <c r="I722" s="88"/>
      <c r="J722" s="88"/>
      <c r="K722" s="88"/>
      <c r="L722" s="88"/>
      <c r="M722" s="88"/>
      <c r="N722" s="88"/>
      <c r="O722" s="88"/>
      <c r="P722" s="88"/>
      <c r="Q722" s="62"/>
      <c r="R722" s="62"/>
      <c r="S722" s="63"/>
    </row>
    <row r="723">
      <c r="A723" s="90"/>
      <c r="B723" s="90"/>
      <c r="C723" s="67"/>
      <c r="D723" s="61"/>
      <c r="E723" s="62"/>
      <c r="F723" s="87"/>
      <c r="G723" s="64"/>
      <c r="H723" s="88"/>
      <c r="I723" s="88"/>
      <c r="J723" s="88"/>
      <c r="K723" s="88"/>
      <c r="L723" s="88"/>
      <c r="M723" s="88"/>
      <c r="N723" s="88"/>
      <c r="O723" s="88"/>
      <c r="P723" s="88"/>
      <c r="Q723" s="62"/>
      <c r="R723" s="62"/>
      <c r="S723" s="63"/>
    </row>
    <row r="724">
      <c r="A724" s="90"/>
      <c r="B724" s="90"/>
      <c r="C724" s="67"/>
      <c r="D724" s="61"/>
      <c r="E724" s="62"/>
      <c r="F724" s="87"/>
      <c r="G724" s="64"/>
      <c r="H724" s="88"/>
      <c r="I724" s="88"/>
      <c r="J724" s="88"/>
      <c r="K724" s="88"/>
      <c r="L724" s="88"/>
      <c r="M724" s="88"/>
      <c r="N724" s="88"/>
      <c r="O724" s="88"/>
      <c r="P724" s="88"/>
      <c r="Q724" s="62"/>
      <c r="R724" s="62"/>
      <c r="S724" s="63"/>
    </row>
    <row r="725">
      <c r="A725" s="90"/>
      <c r="B725" s="90"/>
      <c r="C725" s="67"/>
      <c r="D725" s="61"/>
      <c r="E725" s="62"/>
      <c r="F725" s="87"/>
      <c r="G725" s="64"/>
      <c r="H725" s="88"/>
      <c r="I725" s="88"/>
      <c r="J725" s="88"/>
      <c r="K725" s="88"/>
      <c r="L725" s="88"/>
      <c r="M725" s="88"/>
      <c r="N725" s="88"/>
      <c r="O725" s="88"/>
      <c r="P725" s="88"/>
      <c r="Q725" s="62"/>
      <c r="R725" s="62"/>
      <c r="S725" s="63"/>
    </row>
    <row r="726">
      <c r="A726" s="90"/>
      <c r="B726" s="90"/>
      <c r="C726" s="67"/>
      <c r="D726" s="61"/>
      <c r="E726" s="62"/>
      <c r="F726" s="87"/>
      <c r="G726" s="64"/>
      <c r="H726" s="88"/>
      <c r="I726" s="88"/>
      <c r="J726" s="88"/>
      <c r="K726" s="88"/>
      <c r="L726" s="88"/>
      <c r="M726" s="88"/>
      <c r="N726" s="88"/>
      <c r="O726" s="88"/>
      <c r="P726" s="88"/>
      <c r="Q726" s="62"/>
      <c r="R726" s="62"/>
      <c r="S726" s="63"/>
    </row>
    <row r="727">
      <c r="A727" s="90"/>
      <c r="B727" s="90"/>
      <c r="C727" s="67"/>
      <c r="D727" s="61"/>
      <c r="E727" s="62"/>
      <c r="F727" s="87"/>
      <c r="G727" s="64"/>
      <c r="H727" s="88"/>
      <c r="I727" s="88"/>
      <c r="J727" s="88"/>
      <c r="K727" s="88"/>
      <c r="L727" s="88"/>
      <c r="M727" s="88"/>
      <c r="N727" s="88"/>
      <c r="O727" s="88"/>
      <c r="P727" s="88"/>
      <c r="Q727" s="62"/>
      <c r="R727" s="62"/>
      <c r="S727" s="63"/>
    </row>
    <row r="728">
      <c r="A728" s="90"/>
      <c r="B728" s="90"/>
      <c r="C728" s="67"/>
      <c r="D728" s="61"/>
      <c r="E728" s="62"/>
      <c r="F728" s="87"/>
      <c r="G728" s="64"/>
      <c r="H728" s="88"/>
      <c r="I728" s="88"/>
      <c r="J728" s="88"/>
      <c r="K728" s="88"/>
      <c r="L728" s="88"/>
      <c r="M728" s="88"/>
      <c r="N728" s="88"/>
      <c r="O728" s="88"/>
      <c r="P728" s="88"/>
      <c r="Q728" s="62"/>
      <c r="R728" s="62"/>
      <c r="S728" s="63"/>
    </row>
    <row r="729">
      <c r="A729" s="90"/>
      <c r="B729" s="90"/>
      <c r="C729" s="67"/>
      <c r="D729" s="61"/>
      <c r="E729" s="62"/>
      <c r="F729" s="87"/>
      <c r="G729" s="64"/>
      <c r="H729" s="88"/>
      <c r="I729" s="88"/>
      <c r="J729" s="88"/>
      <c r="K729" s="88"/>
      <c r="L729" s="88"/>
      <c r="M729" s="88"/>
      <c r="N729" s="88"/>
      <c r="O729" s="88"/>
      <c r="P729" s="88"/>
      <c r="Q729" s="62"/>
      <c r="R729" s="62"/>
      <c r="S729" s="63"/>
    </row>
    <row r="730">
      <c r="A730" s="90"/>
      <c r="B730" s="90"/>
      <c r="C730" s="67"/>
      <c r="D730" s="61"/>
      <c r="E730" s="62"/>
      <c r="F730" s="87"/>
      <c r="G730" s="64"/>
      <c r="H730" s="88"/>
      <c r="I730" s="88"/>
      <c r="J730" s="88"/>
      <c r="K730" s="88"/>
      <c r="L730" s="88"/>
      <c r="M730" s="88"/>
      <c r="N730" s="88"/>
      <c r="O730" s="88"/>
      <c r="P730" s="88"/>
      <c r="Q730" s="62"/>
      <c r="R730" s="62"/>
      <c r="S730" s="63"/>
    </row>
    <row r="731">
      <c r="A731" s="90"/>
      <c r="B731" s="90"/>
      <c r="C731" s="67"/>
      <c r="D731" s="61"/>
      <c r="E731" s="62"/>
      <c r="F731" s="87"/>
      <c r="G731" s="64"/>
      <c r="H731" s="88"/>
      <c r="I731" s="88"/>
      <c r="J731" s="88"/>
      <c r="K731" s="88"/>
      <c r="L731" s="88"/>
      <c r="M731" s="88"/>
      <c r="N731" s="88"/>
      <c r="O731" s="88"/>
      <c r="P731" s="88"/>
      <c r="Q731" s="62"/>
      <c r="R731" s="62"/>
      <c r="S731" s="63"/>
    </row>
    <row r="732">
      <c r="A732" s="90"/>
      <c r="B732" s="90"/>
      <c r="C732" s="67"/>
      <c r="D732" s="61"/>
      <c r="E732" s="62"/>
      <c r="F732" s="87"/>
      <c r="G732" s="64"/>
      <c r="H732" s="88"/>
      <c r="I732" s="88"/>
      <c r="J732" s="88"/>
      <c r="K732" s="88"/>
      <c r="L732" s="88"/>
      <c r="M732" s="88"/>
      <c r="N732" s="88"/>
      <c r="O732" s="88"/>
      <c r="P732" s="88"/>
      <c r="Q732" s="62"/>
      <c r="R732" s="62"/>
      <c r="S732" s="63"/>
    </row>
    <row r="733">
      <c r="A733" s="90"/>
      <c r="B733" s="90"/>
      <c r="C733" s="67"/>
      <c r="D733" s="61"/>
      <c r="E733" s="62"/>
      <c r="F733" s="87"/>
      <c r="G733" s="64"/>
      <c r="H733" s="88"/>
      <c r="I733" s="88"/>
      <c r="J733" s="88"/>
      <c r="K733" s="88"/>
      <c r="L733" s="88"/>
      <c r="M733" s="88"/>
      <c r="N733" s="88"/>
      <c r="O733" s="88"/>
      <c r="P733" s="88"/>
      <c r="Q733" s="62"/>
      <c r="R733" s="62"/>
      <c r="S733" s="63"/>
    </row>
    <row r="734">
      <c r="A734" s="90"/>
      <c r="B734" s="90"/>
      <c r="C734" s="67"/>
      <c r="D734" s="61"/>
      <c r="E734" s="62"/>
      <c r="F734" s="87"/>
      <c r="G734" s="64"/>
      <c r="H734" s="88"/>
      <c r="I734" s="88"/>
      <c r="J734" s="88"/>
      <c r="K734" s="88"/>
      <c r="L734" s="88"/>
      <c r="M734" s="88"/>
      <c r="N734" s="88"/>
      <c r="O734" s="88"/>
      <c r="P734" s="88"/>
      <c r="Q734" s="62"/>
      <c r="R734" s="62"/>
      <c r="S734" s="63"/>
    </row>
    <row r="735">
      <c r="A735" s="90"/>
      <c r="B735" s="90"/>
      <c r="C735" s="67"/>
      <c r="D735" s="61"/>
      <c r="E735" s="62"/>
      <c r="F735" s="87"/>
      <c r="G735" s="64"/>
      <c r="H735" s="88"/>
      <c r="I735" s="88"/>
      <c r="J735" s="88"/>
      <c r="K735" s="88"/>
      <c r="L735" s="88"/>
      <c r="M735" s="88"/>
      <c r="N735" s="88"/>
      <c r="O735" s="88"/>
      <c r="P735" s="88"/>
      <c r="Q735" s="62"/>
      <c r="R735" s="62"/>
      <c r="S735" s="63"/>
    </row>
    <row r="736">
      <c r="A736" s="90"/>
      <c r="B736" s="90"/>
      <c r="C736" s="67"/>
      <c r="D736" s="61"/>
      <c r="E736" s="62"/>
      <c r="F736" s="87"/>
      <c r="G736" s="64"/>
      <c r="H736" s="88"/>
      <c r="I736" s="88"/>
      <c r="J736" s="88"/>
      <c r="K736" s="88"/>
      <c r="L736" s="88"/>
      <c r="M736" s="88"/>
      <c r="N736" s="88"/>
      <c r="O736" s="88"/>
      <c r="P736" s="88"/>
      <c r="Q736" s="62"/>
      <c r="R736" s="62"/>
      <c r="S736" s="63"/>
    </row>
    <row r="737">
      <c r="A737" s="90"/>
      <c r="B737" s="90"/>
      <c r="C737" s="67"/>
      <c r="D737" s="61"/>
      <c r="E737" s="62"/>
      <c r="F737" s="87"/>
      <c r="G737" s="64"/>
      <c r="H737" s="88"/>
      <c r="I737" s="88"/>
      <c r="J737" s="88"/>
      <c r="K737" s="88"/>
      <c r="L737" s="88"/>
      <c r="M737" s="88"/>
      <c r="N737" s="88"/>
      <c r="O737" s="88"/>
      <c r="P737" s="88"/>
      <c r="Q737" s="62"/>
      <c r="R737" s="62"/>
      <c r="S737" s="63"/>
    </row>
    <row r="738">
      <c r="A738" s="90"/>
      <c r="B738" s="90"/>
      <c r="C738" s="67"/>
      <c r="D738" s="61"/>
      <c r="E738" s="62"/>
      <c r="F738" s="87"/>
      <c r="G738" s="64"/>
      <c r="H738" s="88"/>
      <c r="I738" s="88"/>
      <c r="J738" s="88"/>
      <c r="K738" s="88"/>
      <c r="L738" s="88"/>
      <c r="M738" s="88"/>
      <c r="N738" s="88"/>
      <c r="O738" s="88"/>
      <c r="P738" s="88"/>
      <c r="Q738" s="62"/>
      <c r="R738" s="62"/>
      <c r="S738" s="63"/>
    </row>
    <row r="739">
      <c r="A739" s="90"/>
      <c r="B739" s="90"/>
      <c r="C739" s="67"/>
      <c r="D739" s="61"/>
      <c r="E739" s="62"/>
      <c r="F739" s="87"/>
      <c r="G739" s="64"/>
      <c r="H739" s="88"/>
      <c r="I739" s="88"/>
      <c r="J739" s="88"/>
      <c r="K739" s="88"/>
      <c r="L739" s="88"/>
      <c r="M739" s="88"/>
      <c r="N739" s="88"/>
      <c r="O739" s="88"/>
      <c r="P739" s="88"/>
      <c r="Q739" s="62"/>
      <c r="R739" s="62"/>
      <c r="S739" s="63"/>
    </row>
    <row r="740">
      <c r="A740" s="90"/>
      <c r="B740" s="90"/>
      <c r="C740" s="67"/>
      <c r="D740" s="61"/>
      <c r="E740" s="62"/>
      <c r="F740" s="87"/>
      <c r="G740" s="64"/>
      <c r="H740" s="88"/>
      <c r="I740" s="88"/>
      <c r="J740" s="88"/>
      <c r="K740" s="88"/>
      <c r="L740" s="88"/>
      <c r="M740" s="88"/>
      <c r="N740" s="88"/>
      <c r="O740" s="88"/>
      <c r="P740" s="88"/>
      <c r="Q740" s="62"/>
      <c r="R740" s="62"/>
      <c r="S740" s="63"/>
    </row>
    <row r="741">
      <c r="A741" s="90"/>
      <c r="B741" s="90"/>
      <c r="C741" s="67"/>
      <c r="D741" s="61"/>
      <c r="E741" s="62"/>
      <c r="F741" s="87"/>
      <c r="G741" s="64"/>
      <c r="H741" s="88"/>
      <c r="I741" s="88"/>
      <c r="J741" s="88"/>
      <c r="K741" s="88"/>
      <c r="L741" s="88"/>
      <c r="M741" s="88"/>
      <c r="N741" s="88"/>
      <c r="O741" s="88"/>
      <c r="P741" s="88"/>
      <c r="Q741" s="62"/>
      <c r="R741" s="62"/>
      <c r="S741" s="63"/>
    </row>
    <row r="742">
      <c r="A742" s="90"/>
      <c r="B742" s="90"/>
      <c r="C742" s="67"/>
      <c r="D742" s="61"/>
      <c r="E742" s="62"/>
      <c r="F742" s="87"/>
      <c r="G742" s="64"/>
      <c r="H742" s="88"/>
      <c r="I742" s="88"/>
      <c r="J742" s="88"/>
      <c r="K742" s="88"/>
      <c r="L742" s="88"/>
      <c r="M742" s="88"/>
      <c r="N742" s="88"/>
      <c r="O742" s="88"/>
      <c r="P742" s="88"/>
      <c r="Q742" s="62"/>
      <c r="R742" s="62"/>
      <c r="S742" s="63"/>
    </row>
    <row r="743">
      <c r="A743" s="90"/>
      <c r="B743" s="90"/>
      <c r="C743" s="67"/>
      <c r="D743" s="61"/>
      <c r="E743" s="62"/>
      <c r="F743" s="87"/>
      <c r="G743" s="64"/>
      <c r="H743" s="88"/>
      <c r="I743" s="88"/>
      <c r="J743" s="88"/>
      <c r="K743" s="88"/>
      <c r="L743" s="88"/>
      <c r="M743" s="88"/>
      <c r="N743" s="88"/>
      <c r="O743" s="88"/>
      <c r="P743" s="88"/>
      <c r="Q743" s="62"/>
      <c r="R743" s="62"/>
      <c r="S743" s="63"/>
    </row>
    <row r="744">
      <c r="A744" s="90"/>
      <c r="B744" s="90"/>
      <c r="C744" s="67"/>
      <c r="D744" s="61"/>
      <c r="E744" s="62"/>
      <c r="F744" s="87"/>
      <c r="G744" s="64"/>
      <c r="H744" s="88"/>
      <c r="I744" s="88"/>
      <c r="J744" s="88"/>
      <c r="K744" s="88"/>
      <c r="L744" s="88"/>
      <c r="M744" s="88"/>
      <c r="N744" s="88"/>
      <c r="O744" s="88"/>
      <c r="P744" s="88"/>
      <c r="Q744" s="62"/>
      <c r="R744" s="62"/>
      <c r="S744" s="63"/>
    </row>
    <row r="745">
      <c r="A745" s="90"/>
      <c r="B745" s="90"/>
      <c r="C745" s="67"/>
      <c r="D745" s="61"/>
      <c r="E745" s="62"/>
      <c r="F745" s="87"/>
      <c r="G745" s="64"/>
      <c r="H745" s="88"/>
      <c r="I745" s="88"/>
      <c r="J745" s="88"/>
      <c r="K745" s="88"/>
      <c r="L745" s="88"/>
      <c r="M745" s="88"/>
      <c r="N745" s="88"/>
      <c r="O745" s="88"/>
      <c r="P745" s="88"/>
      <c r="Q745" s="62"/>
      <c r="R745" s="62"/>
      <c r="S745" s="63"/>
    </row>
    <row r="746">
      <c r="A746" s="90"/>
      <c r="B746" s="90"/>
      <c r="C746" s="67"/>
      <c r="D746" s="61"/>
      <c r="E746" s="62"/>
      <c r="F746" s="87"/>
      <c r="G746" s="64"/>
      <c r="H746" s="88"/>
      <c r="I746" s="88"/>
      <c r="J746" s="88"/>
      <c r="K746" s="88"/>
      <c r="L746" s="88"/>
      <c r="M746" s="88"/>
      <c r="N746" s="88"/>
      <c r="O746" s="88"/>
      <c r="P746" s="88"/>
      <c r="Q746" s="62"/>
      <c r="R746" s="62"/>
      <c r="S746" s="63"/>
    </row>
    <row r="747">
      <c r="A747" s="90"/>
      <c r="B747" s="90"/>
      <c r="C747" s="67"/>
      <c r="D747" s="61"/>
      <c r="E747" s="62"/>
      <c r="F747" s="87"/>
      <c r="G747" s="64"/>
      <c r="H747" s="88"/>
      <c r="I747" s="88"/>
      <c r="J747" s="88"/>
      <c r="K747" s="88"/>
      <c r="L747" s="88"/>
      <c r="M747" s="88"/>
      <c r="N747" s="88"/>
      <c r="O747" s="88"/>
      <c r="P747" s="88"/>
      <c r="Q747" s="62"/>
      <c r="R747" s="62"/>
      <c r="S747" s="63"/>
    </row>
    <row r="748">
      <c r="A748" s="90"/>
      <c r="B748" s="90"/>
      <c r="C748" s="67"/>
      <c r="D748" s="61"/>
      <c r="E748" s="62"/>
      <c r="F748" s="87"/>
      <c r="G748" s="64"/>
      <c r="H748" s="88"/>
      <c r="I748" s="88"/>
      <c r="J748" s="88"/>
      <c r="K748" s="88"/>
      <c r="L748" s="88"/>
      <c r="M748" s="88"/>
      <c r="N748" s="88"/>
      <c r="O748" s="88"/>
      <c r="P748" s="88"/>
      <c r="Q748" s="62"/>
      <c r="R748" s="62"/>
      <c r="S748" s="63"/>
    </row>
    <row r="749">
      <c r="A749" s="90"/>
      <c r="B749" s="90"/>
      <c r="C749" s="67"/>
      <c r="D749" s="61"/>
      <c r="E749" s="62"/>
      <c r="F749" s="87"/>
      <c r="G749" s="64"/>
      <c r="H749" s="88"/>
      <c r="I749" s="88"/>
      <c r="J749" s="88"/>
      <c r="K749" s="88"/>
      <c r="L749" s="88"/>
      <c r="M749" s="88"/>
      <c r="N749" s="88"/>
      <c r="O749" s="88"/>
      <c r="P749" s="88"/>
      <c r="Q749" s="62"/>
      <c r="R749" s="62"/>
      <c r="S749" s="63"/>
    </row>
    <row r="750">
      <c r="A750" s="90"/>
      <c r="B750" s="90"/>
      <c r="C750" s="67"/>
      <c r="D750" s="61"/>
      <c r="E750" s="62"/>
      <c r="F750" s="87"/>
      <c r="G750" s="64"/>
      <c r="H750" s="88"/>
      <c r="I750" s="88"/>
      <c r="J750" s="88"/>
      <c r="K750" s="88"/>
      <c r="L750" s="88"/>
      <c r="M750" s="88"/>
      <c r="N750" s="88"/>
      <c r="O750" s="88"/>
      <c r="P750" s="88"/>
      <c r="Q750" s="62"/>
      <c r="R750" s="62"/>
      <c r="S750" s="63"/>
    </row>
    <row r="751">
      <c r="A751" s="90"/>
      <c r="B751" s="90"/>
      <c r="C751" s="67"/>
      <c r="D751" s="61"/>
      <c r="E751" s="62"/>
      <c r="F751" s="87"/>
      <c r="G751" s="64"/>
      <c r="H751" s="88"/>
      <c r="I751" s="88"/>
      <c r="J751" s="88"/>
      <c r="K751" s="88"/>
      <c r="L751" s="88"/>
      <c r="M751" s="88"/>
      <c r="N751" s="88"/>
      <c r="O751" s="88"/>
      <c r="P751" s="88"/>
      <c r="Q751" s="62"/>
      <c r="R751" s="62"/>
      <c r="S751" s="63"/>
    </row>
    <row r="752">
      <c r="A752" s="90"/>
      <c r="B752" s="90"/>
      <c r="C752" s="67"/>
      <c r="D752" s="61"/>
      <c r="E752" s="62"/>
      <c r="F752" s="87"/>
      <c r="G752" s="64"/>
      <c r="H752" s="88"/>
      <c r="I752" s="88"/>
      <c r="J752" s="88"/>
      <c r="K752" s="88"/>
      <c r="L752" s="88"/>
      <c r="M752" s="88"/>
      <c r="N752" s="88"/>
      <c r="O752" s="88"/>
      <c r="P752" s="88"/>
      <c r="Q752" s="62"/>
      <c r="R752" s="62"/>
      <c r="S752" s="63"/>
    </row>
    <row r="753">
      <c r="A753" s="90"/>
      <c r="B753" s="90"/>
      <c r="C753" s="67"/>
      <c r="D753" s="61"/>
      <c r="E753" s="62"/>
      <c r="F753" s="87"/>
      <c r="G753" s="64"/>
      <c r="H753" s="88"/>
      <c r="I753" s="88"/>
      <c r="J753" s="88"/>
      <c r="K753" s="88"/>
      <c r="L753" s="88"/>
      <c r="M753" s="88"/>
      <c r="N753" s="88"/>
      <c r="O753" s="88"/>
      <c r="P753" s="88"/>
      <c r="Q753" s="62"/>
      <c r="R753" s="62"/>
      <c r="S753" s="63"/>
    </row>
    <row r="754">
      <c r="A754" s="90"/>
      <c r="B754" s="90"/>
      <c r="C754" s="67"/>
      <c r="D754" s="61"/>
      <c r="E754" s="62"/>
      <c r="F754" s="87"/>
      <c r="G754" s="64"/>
      <c r="H754" s="88"/>
      <c r="I754" s="88"/>
      <c r="J754" s="88"/>
      <c r="K754" s="88"/>
      <c r="L754" s="88"/>
      <c r="M754" s="88"/>
      <c r="N754" s="88"/>
      <c r="O754" s="88"/>
      <c r="P754" s="88"/>
      <c r="Q754" s="62"/>
      <c r="R754" s="62"/>
      <c r="S754" s="63"/>
    </row>
    <row r="755">
      <c r="A755" s="90"/>
      <c r="B755" s="90"/>
      <c r="C755" s="67"/>
      <c r="D755" s="61"/>
      <c r="E755" s="62"/>
      <c r="F755" s="87"/>
      <c r="G755" s="64"/>
      <c r="H755" s="88"/>
      <c r="I755" s="88"/>
      <c r="J755" s="88"/>
      <c r="K755" s="88"/>
      <c r="L755" s="88"/>
      <c r="M755" s="88"/>
      <c r="N755" s="88"/>
      <c r="O755" s="88"/>
      <c r="P755" s="88"/>
      <c r="Q755" s="62"/>
      <c r="R755" s="62"/>
      <c r="S755" s="63"/>
    </row>
    <row r="756">
      <c r="A756" s="90"/>
      <c r="B756" s="90"/>
      <c r="C756" s="67"/>
      <c r="D756" s="61"/>
      <c r="E756" s="62"/>
      <c r="F756" s="87"/>
      <c r="G756" s="64"/>
      <c r="H756" s="88"/>
      <c r="I756" s="88"/>
      <c r="J756" s="88"/>
      <c r="K756" s="88"/>
      <c r="L756" s="88"/>
      <c r="M756" s="88"/>
      <c r="N756" s="88"/>
      <c r="O756" s="88"/>
      <c r="P756" s="88"/>
      <c r="Q756" s="62"/>
      <c r="R756" s="62"/>
      <c r="S756" s="63"/>
    </row>
    <row r="757">
      <c r="A757" s="90"/>
      <c r="B757" s="90"/>
      <c r="C757" s="67"/>
      <c r="D757" s="61"/>
      <c r="E757" s="62"/>
      <c r="F757" s="87"/>
      <c r="G757" s="64"/>
      <c r="H757" s="88"/>
      <c r="I757" s="88"/>
      <c r="J757" s="88"/>
      <c r="K757" s="88"/>
      <c r="L757" s="88"/>
      <c r="M757" s="88"/>
      <c r="N757" s="88"/>
      <c r="O757" s="88"/>
      <c r="P757" s="88"/>
      <c r="Q757" s="62"/>
      <c r="R757" s="62"/>
      <c r="S757" s="63"/>
    </row>
    <row r="758">
      <c r="A758" s="90"/>
      <c r="B758" s="90"/>
      <c r="C758" s="67"/>
      <c r="D758" s="61"/>
      <c r="E758" s="62"/>
      <c r="F758" s="87"/>
      <c r="G758" s="64"/>
      <c r="H758" s="88"/>
      <c r="I758" s="88"/>
      <c r="J758" s="88"/>
      <c r="K758" s="88"/>
      <c r="L758" s="88"/>
      <c r="M758" s="88"/>
      <c r="N758" s="88"/>
      <c r="O758" s="88"/>
      <c r="P758" s="88"/>
      <c r="Q758" s="62"/>
      <c r="R758" s="62"/>
      <c r="S758" s="63"/>
    </row>
    <row r="759">
      <c r="A759" s="90"/>
      <c r="B759" s="90"/>
      <c r="C759" s="67"/>
      <c r="D759" s="61"/>
      <c r="E759" s="62"/>
      <c r="F759" s="87"/>
      <c r="G759" s="64"/>
      <c r="H759" s="88"/>
      <c r="I759" s="88"/>
      <c r="J759" s="88"/>
      <c r="K759" s="88"/>
      <c r="L759" s="88"/>
      <c r="M759" s="88"/>
      <c r="N759" s="88"/>
      <c r="O759" s="88"/>
      <c r="P759" s="88"/>
      <c r="Q759" s="62"/>
      <c r="R759" s="62"/>
      <c r="S759" s="63"/>
    </row>
    <row r="760">
      <c r="A760" s="90"/>
      <c r="B760" s="90"/>
      <c r="C760" s="67"/>
      <c r="D760" s="61"/>
      <c r="E760" s="62"/>
      <c r="F760" s="87"/>
      <c r="G760" s="64"/>
      <c r="H760" s="88"/>
      <c r="I760" s="88"/>
      <c r="J760" s="88"/>
      <c r="K760" s="88"/>
      <c r="L760" s="88"/>
      <c r="M760" s="88"/>
      <c r="N760" s="88"/>
      <c r="O760" s="88"/>
      <c r="P760" s="88"/>
      <c r="Q760" s="62"/>
      <c r="R760" s="62"/>
      <c r="S760" s="63"/>
    </row>
    <row r="761">
      <c r="A761" s="90"/>
      <c r="B761" s="90"/>
      <c r="C761" s="67"/>
      <c r="D761" s="61"/>
      <c r="E761" s="62"/>
      <c r="F761" s="87"/>
      <c r="G761" s="64"/>
      <c r="H761" s="88"/>
      <c r="I761" s="88"/>
      <c r="J761" s="88"/>
      <c r="K761" s="88"/>
      <c r="L761" s="88"/>
      <c r="M761" s="88"/>
      <c r="N761" s="88"/>
      <c r="O761" s="88"/>
      <c r="P761" s="88"/>
      <c r="Q761" s="62"/>
      <c r="R761" s="62"/>
      <c r="S761" s="63"/>
    </row>
    <row r="762">
      <c r="A762" s="90"/>
      <c r="B762" s="90"/>
      <c r="C762" s="67"/>
      <c r="D762" s="61"/>
      <c r="E762" s="62"/>
      <c r="F762" s="87"/>
      <c r="G762" s="64"/>
      <c r="H762" s="88"/>
      <c r="I762" s="88"/>
      <c r="J762" s="88"/>
      <c r="K762" s="88"/>
      <c r="L762" s="88"/>
      <c r="M762" s="88"/>
      <c r="N762" s="88"/>
      <c r="O762" s="88"/>
      <c r="P762" s="88"/>
      <c r="Q762" s="62"/>
      <c r="R762" s="62"/>
      <c r="S762" s="63"/>
    </row>
    <row r="763">
      <c r="A763" s="90"/>
      <c r="B763" s="90"/>
      <c r="C763" s="67"/>
      <c r="D763" s="61"/>
      <c r="E763" s="62"/>
      <c r="F763" s="87"/>
      <c r="G763" s="64"/>
      <c r="H763" s="88"/>
      <c r="I763" s="88"/>
      <c r="J763" s="88"/>
      <c r="K763" s="88"/>
      <c r="L763" s="88"/>
      <c r="M763" s="88"/>
      <c r="N763" s="88"/>
      <c r="O763" s="88"/>
      <c r="P763" s="88"/>
      <c r="Q763" s="62"/>
      <c r="R763" s="62"/>
      <c r="S763" s="63"/>
    </row>
    <row r="764">
      <c r="A764" s="90"/>
      <c r="B764" s="90"/>
      <c r="C764" s="67"/>
      <c r="D764" s="61"/>
      <c r="E764" s="62"/>
      <c r="F764" s="87"/>
      <c r="G764" s="64"/>
      <c r="H764" s="88"/>
      <c r="I764" s="88"/>
      <c r="J764" s="88"/>
      <c r="K764" s="88"/>
      <c r="L764" s="88"/>
      <c r="M764" s="88"/>
      <c r="N764" s="88"/>
      <c r="O764" s="88"/>
      <c r="P764" s="88"/>
      <c r="Q764" s="62"/>
      <c r="R764" s="62"/>
      <c r="S764" s="63"/>
    </row>
    <row r="765">
      <c r="A765" s="90"/>
      <c r="B765" s="90"/>
      <c r="C765" s="67"/>
      <c r="D765" s="61"/>
      <c r="E765" s="62"/>
      <c r="F765" s="87"/>
      <c r="G765" s="64"/>
      <c r="H765" s="88"/>
      <c r="I765" s="88"/>
      <c r="J765" s="88"/>
      <c r="K765" s="88"/>
      <c r="L765" s="88"/>
      <c r="M765" s="88"/>
      <c r="N765" s="88"/>
      <c r="O765" s="88"/>
      <c r="P765" s="88"/>
      <c r="Q765" s="62"/>
      <c r="R765" s="62"/>
      <c r="S765" s="63"/>
    </row>
    <row r="766">
      <c r="A766" s="90"/>
      <c r="B766" s="90"/>
      <c r="C766" s="67"/>
      <c r="D766" s="61"/>
      <c r="E766" s="62"/>
      <c r="F766" s="87"/>
      <c r="G766" s="64"/>
      <c r="H766" s="88"/>
      <c r="I766" s="88"/>
      <c r="J766" s="88"/>
      <c r="K766" s="88"/>
      <c r="L766" s="88"/>
      <c r="M766" s="88"/>
      <c r="N766" s="88"/>
      <c r="O766" s="88"/>
      <c r="P766" s="88"/>
      <c r="Q766" s="62"/>
      <c r="R766" s="62"/>
      <c r="S766" s="63"/>
    </row>
    <row r="767">
      <c r="A767" s="90"/>
      <c r="B767" s="90"/>
      <c r="C767" s="67"/>
      <c r="D767" s="61"/>
      <c r="E767" s="62"/>
      <c r="F767" s="87"/>
      <c r="G767" s="64"/>
      <c r="H767" s="88"/>
      <c r="I767" s="88"/>
      <c r="J767" s="88"/>
      <c r="K767" s="88"/>
      <c r="L767" s="88"/>
      <c r="M767" s="88"/>
      <c r="N767" s="88"/>
      <c r="O767" s="88"/>
      <c r="P767" s="88"/>
      <c r="Q767" s="62"/>
      <c r="R767" s="62"/>
      <c r="S767" s="63"/>
    </row>
    <row r="768">
      <c r="A768" s="90"/>
      <c r="B768" s="90"/>
      <c r="C768" s="67"/>
      <c r="D768" s="61"/>
      <c r="E768" s="62"/>
      <c r="F768" s="87"/>
      <c r="G768" s="64"/>
      <c r="H768" s="88"/>
      <c r="I768" s="88"/>
      <c r="J768" s="88"/>
      <c r="K768" s="88"/>
      <c r="L768" s="88"/>
      <c r="M768" s="88"/>
      <c r="N768" s="88"/>
      <c r="O768" s="88"/>
      <c r="P768" s="88"/>
      <c r="Q768" s="62"/>
      <c r="R768" s="62"/>
      <c r="S768" s="63"/>
    </row>
    <row r="769">
      <c r="A769" s="90"/>
      <c r="B769" s="90"/>
      <c r="C769" s="67"/>
      <c r="D769" s="61"/>
      <c r="E769" s="62"/>
      <c r="F769" s="87"/>
      <c r="G769" s="64"/>
      <c r="H769" s="88"/>
      <c r="I769" s="88"/>
      <c r="J769" s="88"/>
      <c r="K769" s="88"/>
      <c r="L769" s="88"/>
      <c r="M769" s="88"/>
      <c r="N769" s="88"/>
      <c r="O769" s="88"/>
      <c r="P769" s="88"/>
      <c r="Q769" s="62"/>
      <c r="R769" s="62"/>
      <c r="S769" s="63"/>
    </row>
    <row r="770">
      <c r="A770" s="90"/>
      <c r="B770" s="90"/>
      <c r="C770" s="67"/>
      <c r="D770" s="61"/>
      <c r="E770" s="62"/>
      <c r="F770" s="87"/>
      <c r="G770" s="64"/>
      <c r="H770" s="88"/>
      <c r="I770" s="88"/>
      <c r="J770" s="88"/>
      <c r="K770" s="88"/>
      <c r="L770" s="88"/>
      <c r="M770" s="88"/>
      <c r="N770" s="88"/>
      <c r="O770" s="88"/>
      <c r="P770" s="88"/>
      <c r="Q770" s="62"/>
      <c r="R770" s="62"/>
      <c r="S770" s="63"/>
    </row>
    <row r="771">
      <c r="A771" s="90"/>
      <c r="B771" s="90"/>
      <c r="C771" s="67"/>
      <c r="D771" s="61"/>
      <c r="E771" s="62"/>
      <c r="F771" s="87"/>
      <c r="G771" s="64"/>
      <c r="H771" s="88"/>
      <c r="I771" s="88"/>
      <c r="J771" s="88"/>
      <c r="K771" s="88"/>
      <c r="L771" s="88"/>
      <c r="M771" s="88"/>
      <c r="N771" s="88"/>
      <c r="O771" s="88"/>
      <c r="P771" s="88"/>
      <c r="Q771" s="62"/>
      <c r="R771" s="62"/>
      <c r="S771" s="63"/>
    </row>
    <row r="772">
      <c r="A772" s="90"/>
      <c r="B772" s="90"/>
      <c r="C772" s="67"/>
      <c r="D772" s="61"/>
      <c r="E772" s="62"/>
      <c r="F772" s="87"/>
      <c r="G772" s="64"/>
      <c r="H772" s="88"/>
      <c r="I772" s="88"/>
      <c r="J772" s="88"/>
      <c r="K772" s="88"/>
      <c r="L772" s="88"/>
      <c r="M772" s="88"/>
      <c r="N772" s="88"/>
      <c r="O772" s="88"/>
      <c r="P772" s="88"/>
      <c r="Q772" s="62"/>
      <c r="R772" s="62"/>
      <c r="S772" s="63"/>
    </row>
    <row r="773">
      <c r="A773" s="90"/>
      <c r="B773" s="90"/>
      <c r="C773" s="67"/>
      <c r="D773" s="61"/>
      <c r="E773" s="62"/>
      <c r="F773" s="87"/>
      <c r="G773" s="64"/>
      <c r="H773" s="88"/>
      <c r="I773" s="88"/>
      <c r="J773" s="88"/>
      <c r="K773" s="88"/>
      <c r="L773" s="88"/>
      <c r="M773" s="88"/>
      <c r="N773" s="88"/>
      <c r="O773" s="88"/>
      <c r="P773" s="88"/>
      <c r="Q773" s="62"/>
      <c r="R773" s="62"/>
      <c r="S773" s="63"/>
    </row>
    <row r="774">
      <c r="A774" s="90"/>
      <c r="B774" s="90"/>
      <c r="C774" s="67"/>
      <c r="D774" s="61"/>
      <c r="E774" s="62"/>
      <c r="F774" s="87"/>
      <c r="G774" s="64"/>
      <c r="H774" s="88"/>
      <c r="I774" s="88"/>
      <c r="J774" s="88"/>
      <c r="K774" s="88"/>
      <c r="L774" s="88"/>
      <c r="M774" s="88"/>
      <c r="N774" s="88"/>
      <c r="O774" s="88"/>
      <c r="P774" s="88"/>
      <c r="Q774" s="62"/>
      <c r="R774" s="62"/>
      <c r="S774" s="63"/>
    </row>
    <row r="775">
      <c r="A775" s="90"/>
      <c r="B775" s="90"/>
      <c r="C775" s="67"/>
      <c r="D775" s="61"/>
      <c r="E775" s="62"/>
      <c r="F775" s="87"/>
      <c r="G775" s="64"/>
      <c r="H775" s="88"/>
      <c r="I775" s="88"/>
      <c r="J775" s="88"/>
      <c r="K775" s="88"/>
      <c r="L775" s="88"/>
      <c r="M775" s="88"/>
      <c r="N775" s="88"/>
      <c r="O775" s="88"/>
      <c r="P775" s="88"/>
      <c r="Q775" s="62"/>
      <c r="R775" s="62"/>
      <c r="S775" s="63"/>
    </row>
    <row r="776">
      <c r="A776" s="90"/>
      <c r="B776" s="90"/>
      <c r="C776" s="67"/>
      <c r="D776" s="61"/>
      <c r="E776" s="62"/>
      <c r="F776" s="87"/>
      <c r="G776" s="64"/>
      <c r="H776" s="88"/>
      <c r="I776" s="88"/>
      <c r="J776" s="88"/>
      <c r="K776" s="88"/>
      <c r="L776" s="88"/>
      <c r="M776" s="88"/>
      <c r="N776" s="88"/>
      <c r="O776" s="88"/>
      <c r="P776" s="88"/>
      <c r="Q776" s="62"/>
      <c r="R776" s="62"/>
      <c r="S776" s="63"/>
    </row>
    <row r="777">
      <c r="A777" s="90"/>
      <c r="B777" s="90"/>
      <c r="C777" s="67"/>
      <c r="D777" s="61"/>
      <c r="E777" s="62"/>
      <c r="F777" s="87"/>
      <c r="G777" s="64"/>
      <c r="H777" s="88"/>
      <c r="I777" s="88"/>
      <c r="J777" s="88"/>
      <c r="K777" s="88"/>
      <c r="L777" s="88"/>
      <c r="M777" s="88"/>
      <c r="N777" s="88"/>
      <c r="O777" s="88"/>
      <c r="P777" s="88"/>
      <c r="Q777" s="62"/>
      <c r="R777" s="62"/>
      <c r="S777" s="63"/>
    </row>
    <row r="778">
      <c r="A778" s="90"/>
      <c r="B778" s="90"/>
      <c r="C778" s="67"/>
      <c r="D778" s="61"/>
      <c r="E778" s="62"/>
      <c r="F778" s="87"/>
      <c r="G778" s="64"/>
      <c r="H778" s="88"/>
      <c r="I778" s="88"/>
      <c r="J778" s="88"/>
      <c r="K778" s="88"/>
      <c r="L778" s="88"/>
      <c r="M778" s="88"/>
      <c r="N778" s="88"/>
      <c r="O778" s="88"/>
      <c r="P778" s="88"/>
      <c r="Q778" s="62"/>
      <c r="R778" s="62"/>
      <c r="S778" s="63"/>
    </row>
    <row r="779">
      <c r="A779" s="90"/>
      <c r="B779" s="90"/>
      <c r="C779" s="67"/>
      <c r="D779" s="61"/>
      <c r="E779" s="62"/>
      <c r="F779" s="87"/>
      <c r="G779" s="64"/>
      <c r="H779" s="88"/>
      <c r="I779" s="88"/>
      <c r="J779" s="88"/>
      <c r="K779" s="88"/>
      <c r="L779" s="88"/>
      <c r="M779" s="88"/>
      <c r="N779" s="88"/>
      <c r="O779" s="88"/>
      <c r="P779" s="88"/>
      <c r="Q779" s="62"/>
      <c r="R779" s="62"/>
      <c r="S779" s="63"/>
    </row>
    <row r="780">
      <c r="A780" s="90"/>
      <c r="B780" s="90"/>
      <c r="C780" s="67"/>
      <c r="D780" s="61"/>
      <c r="E780" s="62"/>
      <c r="F780" s="87"/>
      <c r="G780" s="64"/>
      <c r="H780" s="88"/>
      <c r="I780" s="88"/>
      <c r="J780" s="88"/>
      <c r="K780" s="88"/>
      <c r="L780" s="88"/>
      <c r="M780" s="88"/>
      <c r="N780" s="88"/>
      <c r="O780" s="88"/>
      <c r="P780" s="88"/>
      <c r="Q780" s="62"/>
      <c r="R780" s="62"/>
      <c r="S780" s="63"/>
    </row>
    <row r="781">
      <c r="A781" s="90"/>
      <c r="B781" s="90"/>
      <c r="C781" s="67"/>
      <c r="D781" s="61"/>
      <c r="E781" s="62"/>
      <c r="F781" s="87"/>
      <c r="G781" s="64"/>
      <c r="H781" s="88"/>
      <c r="I781" s="88"/>
      <c r="J781" s="88"/>
      <c r="K781" s="88"/>
      <c r="L781" s="88"/>
      <c r="M781" s="88"/>
      <c r="N781" s="88"/>
      <c r="O781" s="88"/>
      <c r="P781" s="88"/>
      <c r="Q781" s="62"/>
      <c r="R781" s="62"/>
      <c r="S781" s="63"/>
    </row>
    <row r="782">
      <c r="A782" s="90"/>
      <c r="B782" s="90"/>
      <c r="C782" s="67"/>
      <c r="D782" s="61"/>
      <c r="E782" s="62"/>
      <c r="F782" s="87"/>
      <c r="G782" s="64"/>
      <c r="H782" s="88"/>
      <c r="I782" s="88"/>
      <c r="J782" s="88"/>
      <c r="K782" s="88"/>
      <c r="L782" s="88"/>
      <c r="M782" s="88"/>
      <c r="N782" s="88"/>
      <c r="O782" s="88"/>
      <c r="P782" s="88"/>
      <c r="Q782" s="62"/>
      <c r="R782" s="62"/>
      <c r="S782" s="63"/>
    </row>
    <row r="783">
      <c r="A783" s="90"/>
      <c r="B783" s="90"/>
      <c r="C783" s="67"/>
      <c r="D783" s="61"/>
      <c r="E783" s="62"/>
      <c r="F783" s="87"/>
      <c r="G783" s="64"/>
      <c r="H783" s="88"/>
      <c r="I783" s="88"/>
      <c r="J783" s="88"/>
      <c r="K783" s="88"/>
      <c r="L783" s="88"/>
      <c r="M783" s="88"/>
      <c r="N783" s="88"/>
      <c r="O783" s="88"/>
      <c r="P783" s="88"/>
      <c r="Q783" s="62"/>
      <c r="R783" s="62"/>
      <c r="S783" s="63"/>
    </row>
    <row r="784">
      <c r="A784" s="90"/>
      <c r="B784" s="90"/>
      <c r="C784" s="67"/>
      <c r="D784" s="61"/>
      <c r="E784" s="62"/>
      <c r="F784" s="87"/>
      <c r="G784" s="64"/>
      <c r="H784" s="88"/>
      <c r="I784" s="88"/>
      <c r="J784" s="88"/>
      <c r="K784" s="88"/>
      <c r="L784" s="88"/>
      <c r="M784" s="88"/>
      <c r="N784" s="88"/>
      <c r="O784" s="88"/>
      <c r="P784" s="88"/>
      <c r="Q784" s="62"/>
      <c r="R784" s="62"/>
      <c r="S784" s="63"/>
    </row>
    <row r="785">
      <c r="A785" s="90"/>
      <c r="B785" s="90"/>
      <c r="C785" s="67"/>
      <c r="D785" s="61"/>
      <c r="E785" s="62"/>
      <c r="F785" s="87"/>
      <c r="G785" s="64"/>
      <c r="H785" s="88"/>
      <c r="I785" s="88"/>
      <c r="J785" s="88"/>
      <c r="K785" s="88"/>
      <c r="L785" s="88"/>
      <c r="M785" s="88"/>
      <c r="N785" s="88"/>
      <c r="O785" s="88"/>
      <c r="P785" s="88"/>
      <c r="Q785" s="62"/>
      <c r="R785" s="62"/>
      <c r="S785" s="63"/>
    </row>
    <row r="786">
      <c r="A786" s="90"/>
      <c r="B786" s="90"/>
      <c r="C786" s="67"/>
      <c r="D786" s="61"/>
      <c r="E786" s="62"/>
      <c r="F786" s="87"/>
      <c r="G786" s="64"/>
      <c r="H786" s="88"/>
      <c r="I786" s="88"/>
      <c r="J786" s="88"/>
      <c r="K786" s="88"/>
      <c r="L786" s="88"/>
      <c r="M786" s="88"/>
      <c r="N786" s="88"/>
      <c r="O786" s="88"/>
      <c r="P786" s="88"/>
      <c r="Q786" s="62"/>
      <c r="R786" s="62"/>
      <c r="S786" s="63"/>
    </row>
    <row r="787">
      <c r="A787" s="90"/>
      <c r="B787" s="90"/>
      <c r="C787" s="67"/>
      <c r="D787" s="61"/>
      <c r="E787" s="62"/>
      <c r="F787" s="87"/>
      <c r="G787" s="64"/>
      <c r="H787" s="88"/>
      <c r="I787" s="88"/>
      <c r="J787" s="88"/>
      <c r="K787" s="88"/>
      <c r="L787" s="88"/>
      <c r="M787" s="88"/>
      <c r="N787" s="88"/>
      <c r="O787" s="88"/>
      <c r="P787" s="88"/>
      <c r="Q787" s="62"/>
      <c r="R787" s="62"/>
      <c r="S787" s="63"/>
    </row>
    <row r="788">
      <c r="A788" s="90"/>
      <c r="B788" s="90"/>
      <c r="C788" s="67"/>
      <c r="D788" s="61"/>
      <c r="E788" s="62"/>
      <c r="F788" s="87"/>
      <c r="G788" s="64"/>
      <c r="H788" s="88"/>
      <c r="I788" s="88"/>
      <c r="J788" s="88"/>
      <c r="K788" s="88"/>
      <c r="L788" s="88"/>
      <c r="M788" s="88"/>
      <c r="N788" s="88"/>
      <c r="O788" s="88"/>
      <c r="P788" s="88"/>
      <c r="Q788" s="62"/>
      <c r="R788" s="62"/>
      <c r="S788" s="63"/>
    </row>
    <row r="789">
      <c r="A789" s="90"/>
      <c r="B789" s="90"/>
      <c r="C789" s="67"/>
      <c r="D789" s="61"/>
      <c r="E789" s="62"/>
      <c r="F789" s="87"/>
      <c r="G789" s="64"/>
      <c r="H789" s="88"/>
      <c r="I789" s="88"/>
      <c r="J789" s="88"/>
      <c r="K789" s="88"/>
      <c r="L789" s="88"/>
      <c r="M789" s="88"/>
      <c r="N789" s="88"/>
      <c r="O789" s="88"/>
      <c r="P789" s="88"/>
      <c r="Q789" s="62"/>
      <c r="R789" s="62"/>
      <c r="S789" s="63"/>
    </row>
    <row r="790">
      <c r="A790" s="90"/>
      <c r="B790" s="90"/>
      <c r="C790" s="67"/>
      <c r="D790" s="61"/>
      <c r="E790" s="62"/>
      <c r="F790" s="87"/>
      <c r="G790" s="64"/>
      <c r="H790" s="88"/>
      <c r="I790" s="88"/>
      <c r="J790" s="88"/>
      <c r="K790" s="88"/>
      <c r="L790" s="88"/>
      <c r="M790" s="88"/>
      <c r="N790" s="88"/>
      <c r="O790" s="88"/>
      <c r="P790" s="88"/>
      <c r="Q790" s="62"/>
      <c r="R790" s="62"/>
      <c r="S790" s="63"/>
    </row>
    <row r="791">
      <c r="A791" s="90"/>
      <c r="B791" s="90"/>
      <c r="C791" s="67"/>
      <c r="D791" s="61"/>
      <c r="E791" s="62"/>
      <c r="F791" s="87"/>
      <c r="G791" s="64"/>
      <c r="H791" s="88"/>
      <c r="I791" s="88"/>
      <c r="J791" s="88"/>
      <c r="K791" s="88"/>
      <c r="L791" s="88"/>
      <c r="M791" s="88"/>
      <c r="N791" s="88"/>
      <c r="O791" s="88"/>
      <c r="P791" s="88"/>
      <c r="Q791" s="62"/>
      <c r="R791" s="62"/>
      <c r="S791" s="63"/>
    </row>
    <row r="792">
      <c r="A792" s="90"/>
      <c r="B792" s="90"/>
      <c r="C792" s="67"/>
      <c r="D792" s="61"/>
      <c r="E792" s="62"/>
      <c r="F792" s="87"/>
      <c r="G792" s="64"/>
      <c r="H792" s="88"/>
      <c r="I792" s="88"/>
      <c r="J792" s="88"/>
      <c r="K792" s="88"/>
      <c r="L792" s="88"/>
      <c r="M792" s="88"/>
      <c r="N792" s="88"/>
      <c r="O792" s="88"/>
      <c r="P792" s="88"/>
      <c r="Q792" s="62"/>
      <c r="R792" s="62"/>
      <c r="S792" s="63"/>
    </row>
    <row r="793">
      <c r="A793" s="90"/>
      <c r="B793" s="90"/>
      <c r="C793" s="67"/>
      <c r="D793" s="61"/>
      <c r="E793" s="62"/>
      <c r="F793" s="87"/>
      <c r="G793" s="64"/>
      <c r="H793" s="88"/>
      <c r="I793" s="88"/>
      <c r="J793" s="88"/>
      <c r="K793" s="88"/>
      <c r="L793" s="88"/>
      <c r="M793" s="88"/>
      <c r="N793" s="88"/>
      <c r="O793" s="88"/>
      <c r="P793" s="88"/>
      <c r="Q793" s="62"/>
      <c r="R793" s="62"/>
      <c r="S793" s="63"/>
    </row>
    <row r="794">
      <c r="A794" s="90"/>
      <c r="B794" s="90"/>
      <c r="C794" s="67"/>
      <c r="D794" s="61"/>
      <c r="E794" s="62"/>
      <c r="F794" s="87"/>
      <c r="G794" s="64"/>
      <c r="H794" s="88"/>
      <c r="I794" s="88"/>
      <c r="J794" s="88"/>
      <c r="K794" s="88"/>
      <c r="L794" s="88"/>
      <c r="M794" s="88"/>
      <c r="N794" s="88"/>
      <c r="O794" s="88"/>
      <c r="P794" s="88"/>
      <c r="Q794" s="62"/>
      <c r="R794" s="62"/>
      <c r="S794" s="63"/>
    </row>
    <row r="795">
      <c r="A795" s="90"/>
      <c r="B795" s="90"/>
      <c r="C795" s="67"/>
      <c r="D795" s="61"/>
      <c r="E795" s="62"/>
      <c r="F795" s="87"/>
      <c r="G795" s="64"/>
      <c r="H795" s="88"/>
      <c r="I795" s="88"/>
      <c r="J795" s="88"/>
      <c r="K795" s="88"/>
      <c r="L795" s="88"/>
      <c r="M795" s="88"/>
      <c r="N795" s="88"/>
      <c r="O795" s="88"/>
      <c r="P795" s="88"/>
      <c r="Q795" s="62"/>
      <c r="R795" s="62"/>
      <c r="S795" s="63"/>
    </row>
    <row r="796">
      <c r="A796" s="90"/>
      <c r="B796" s="90"/>
      <c r="C796" s="67"/>
      <c r="D796" s="61"/>
      <c r="E796" s="62"/>
      <c r="F796" s="87"/>
      <c r="G796" s="64"/>
      <c r="H796" s="88"/>
      <c r="I796" s="88"/>
      <c r="J796" s="88"/>
      <c r="K796" s="88"/>
      <c r="L796" s="88"/>
      <c r="M796" s="88"/>
      <c r="N796" s="88"/>
      <c r="O796" s="88"/>
      <c r="P796" s="88"/>
      <c r="Q796" s="62"/>
      <c r="R796" s="62"/>
      <c r="S796" s="63"/>
    </row>
    <row r="797">
      <c r="A797" s="90"/>
      <c r="B797" s="90"/>
      <c r="C797" s="67"/>
      <c r="D797" s="61"/>
      <c r="E797" s="62"/>
      <c r="F797" s="87"/>
      <c r="G797" s="64"/>
      <c r="H797" s="88"/>
      <c r="I797" s="88"/>
      <c r="J797" s="88"/>
      <c r="K797" s="88"/>
      <c r="L797" s="88"/>
      <c r="M797" s="88"/>
      <c r="N797" s="88"/>
      <c r="O797" s="88"/>
      <c r="P797" s="88"/>
      <c r="Q797" s="62"/>
      <c r="R797" s="62"/>
      <c r="S797" s="63"/>
    </row>
    <row r="798">
      <c r="A798" s="90"/>
      <c r="B798" s="90"/>
      <c r="C798" s="67"/>
      <c r="D798" s="61"/>
      <c r="E798" s="62"/>
      <c r="F798" s="87"/>
      <c r="G798" s="64"/>
      <c r="H798" s="88"/>
      <c r="I798" s="88"/>
      <c r="J798" s="88"/>
      <c r="K798" s="88"/>
      <c r="L798" s="88"/>
      <c r="M798" s="88"/>
      <c r="N798" s="88"/>
      <c r="O798" s="88"/>
      <c r="P798" s="88"/>
      <c r="Q798" s="62"/>
      <c r="R798" s="62"/>
      <c r="S798" s="63"/>
    </row>
    <row r="799">
      <c r="A799" s="90"/>
      <c r="B799" s="90"/>
      <c r="C799" s="67"/>
      <c r="D799" s="61"/>
      <c r="E799" s="62"/>
      <c r="F799" s="87"/>
      <c r="G799" s="64"/>
      <c r="H799" s="88"/>
      <c r="I799" s="88"/>
      <c r="J799" s="88"/>
      <c r="K799" s="88"/>
      <c r="L799" s="88"/>
      <c r="M799" s="88"/>
      <c r="N799" s="88"/>
      <c r="O799" s="88"/>
      <c r="P799" s="88"/>
      <c r="Q799" s="62"/>
      <c r="R799" s="62"/>
      <c r="S799" s="63"/>
    </row>
    <row r="800">
      <c r="A800" s="90"/>
      <c r="B800" s="90"/>
      <c r="C800" s="67"/>
      <c r="D800" s="61"/>
      <c r="E800" s="62"/>
      <c r="F800" s="87"/>
      <c r="G800" s="64"/>
      <c r="H800" s="88"/>
      <c r="I800" s="88"/>
      <c r="J800" s="88"/>
      <c r="K800" s="88"/>
      <c r="L800" s="88"/>
      <c r="M800" s="88"/>
      <c r="N800" s="88"/>
      <c r="O800" s="88"/>
      <c r="P800" s="88"/>
      <c r="Q800" s="62"/>
      <c r="R800" s="62"/>
      <c r="S800" s="63"/>
    </row>
    <row r="801">
      <c r="A801" s="90"/>
      <c r="B801" s="90"/>
      <c r="C801" s="67"/>
      <c r="D801" s="61"/>
      <c r="E801" s="62"/>
      <c r="F801" s="87"/>
      <c r="G801" s="64"/>
      <c r="H801" s="88"/>
      <c r="I801" s="88"/>
      <c r="J801" s="88"/>
      <c r="K801" s="88"/>
      <c r="L801" s="88"/>
      <c r="M801" s="88"/>
      <c r="N801" s="88"/>
      <c r="O801" s="88"/>
      <c r="P801" s="88"/>
      <c r="Q801" s="62"/>
      <c r="R801" s="62"/>
      <c r="S801" s="63"/>
    </row>
    <row r="802">
      <c r="A802" s="90"/>
      <c r="B802" s="90"/>
      <c r="C802" s="67"/>
      <c r="D802" s="61"/>
      <c r="E802" s="62"/>
      <c r="F802" s="87"/>
      <c r="G802" s="64"/>
      <c r="H802" s="88"/>
      <c r="I802" s="88"/>
      <c r="J802" s="88"/>
      <c r="K802" s="88"/>
      <c r="L802" s="88"/>
      <c r="M802" s="88"/>
      <c r="N802" s="88"/>
      <c r="O802" s="88"/>
      <c r="P802" s="88"/>
      <c r="Q802" s="62"/>
      <c r="R802" s="62"/>
      <c r="S802" s="63"/>
    </row>
    <row r="803">
      <c r="A803" s="90"/>
      <c r="B803" s="90"/>
      <c r="C803" s="67"/>
      <c r="D803" s="61"/>
      <c r="E803" s="62"/>
      <c r="F803" s="87"/>
      <c r="G803" s="64"/>
      <c r="H803" s="88"/>
      <c r="I803" s="88"/>
      <c r="J803" s="88"/>
      <c r="K803" s="88"/>
      <c r="L803" s="88"/>
      <c r="M803" s="88"/>
      <c r="N803" s="88"/>
      <c r="O803" s="88"/>
      <c r="P803" s="88"/>
      <c r="Q803" s="62"/>
      <c r="R803" s="62"/>
      <c r="S803" s="63"/>
    </row>
    <row r="804">
      <c r="A804" s="90"/>
      <c r="B804" s="90"/>
      <c r="C804" s="67"/>
      <c r="D804" s="61"/>
      <c r="E804" s="62"/>
      <c r="F804" s="87"/>
      <c r="G804" s="64"/>
      <c r="H804" s="88"/>
      <c r="I804" s="88"/>
      <c r="J804" s="88"/>
      <c r="K804" s="88"/>
      <c r="L804" s="88"/>
      <c r="M804" s="88"/>
      <c r="N804" s="88"/>
      <c r="O804" s="88"/>
      <c r="P804" s="88"/>
      <c r="Q804" s="62"/>
      <c r="R804" s="62"/>
      <c r="S804" s="63"/>
    </row>
    <row r="805">
      <c r="A805" s="90"/>
      <c r="B805" s="90"/>
      <c r="C805" s="67"/>
      <c r="D805" s="61"/>
      <c r="E805" s="62"/>
      <c r="F805" s="87"/>
      <c r="G805" s="64"/>
      <c r="H805" s="88"/>
      <c r="I805" s="88"/>
      <c r="J805" s="88"/>
      <c r="K805" s="88"/>
      <c r="L805" s="88"/>
      <c r="M805" s="88"/>
      <c r="N805" s="88"/>
      <c r="O805" s="88"/>
      <c r="P805" s="88"/>
      <c r="Q805" s="62"/>
      <c r="R805" s="62"/>
      <c r="S805" s="63"/>
    </row>
    <row r="806">
      <c r="A806" s="90"/>
      <c r="B806" s="90"/>
      <c r="C806" s="67"/>
      <c r="D806" s="61"/>
      <c r="E806" s="62"/>
      <c r="F806" s="87"/>
      <c r="G806" s="64"/>
      <c r="H806" s="88"/>
      <c r="I806" s="88"/>
      <c r="J806" s="88"/>
      <c r="K806" s="88"/>
      <c r="L806" s="88"/>
      <c r="M806" s="88"/>
      <c r="N806" s="88"/>
      <c r="O806" s="88"/>
      <c r="P806" s="88"/>
      <c r="Q806" s="62"/>
      <c r="R806" s="62"/>
      <c r="S806" s="63"/>
    </row>
    <row r="807">
      <c r="A807" s="90"/>
      <c r="B807" s="90"/>
      <c r="C807" s="67"/>
      <c r="D807" s="61"/>
      <c r="E807" s="62"/>
      <c r="F807" s="87"/>
      <c r="G807" s="64"/>
      <c r="H807" s="88"/>
      <c r="I807" s="88"/>
      <c r="J807" s="88"/>
      <c r="K807" s="88"/>
      <c r="L807" s="88"/>
      <c r="M807" s="88"/>
      <c r="N807" s="88"/>
      <c r="O807" s="88"/>
      <c r="P807" s="88"/>
      <c r="Q807" s="62"/>
      <c r="R807" s="62"/>
      <c r="S807" s="63"/>
    </row>
    <row r="808">
      <c r="A808" s="90"/>
      <c r="B808" s="90"/>
      <c r="C808" s="67"/>
      <c r="D808" s="61"/>
      <c r="E808" s="62"/>
      <c r="F808" s="87"/>
      <c r="G808" s="64"/>
      <c r="H808" s="88"/>
      <c r="I808" s="88"/>
      <c r="J808" s="88"/>
      <c r="K808" s="88"/>
      <c r="L808" s="88"/>
      <c r="M808" s="88"/>
      <c r="N808" s="88"/>
      <c r="O808" s="88"/>
      <c r="P808" s="88"/>
      <c r="Q808" s="62"/>
      <c r="R808" s="62"/>
      <c r="S808" s="63"/>
    </row>
    <row r="809">
      <c r="A809" s="90"/>
      <c r="B809" s="90"/>
      <c r="C809" s="67"/>
      <c r="D809" s="61"/>
      <c r="E809" s="62"/>
      <c r="F809" s="87"/>
      <c r="G809" s="64"/>
      <c r="H809" s="88"/>
      <c r="I809" s="88"/>
      <c r="J809" s="88"/>
      <c r="K809" s="88"/>
      <c r="L809" s="88"/>
      <c r="M809" s="88"/>
      <c r="N809" s="88"/>
      <c r="O809" s="88"/>
      <c r="P809" s="88"/>
      <c r="Q809" s="62"/>
      <c r="R809" s="62"/>
      <c r="S809" s="63"/>
    </row>
    <row r="810">
      <c r="A810" s="90"/>
      <c r="B810" s="90"/>
      <c r="C810" s="67"/>
      <c r="D810" s="61"/>
      <c r="E810" s="62"/>
      <c r="F810" s="87"/>
      <c r="G810" s="64"/>
      <c r="H810" s="88"/>
      <c r="I810" s="88"/>
      <c r="J810" s="88"/>
      <c r="K810" s="88"/>
      <c r="L810" s="88"/>
      <c r="M810" s="88"/>
      <c r="N810" s="88"/>
      <c r="O810" s="88"/>
      <c r="P810" s="88"/>
      <c r="Q810" s="62"/>
      <c r="R810" s="62"/>
      <c r="S810" s="63"/>
    </row>
    <row r="811">
      <c r="A811" s="90"/>
      <c r="B811" s="90"/>
      <c r="C811" s="67"/>
      <c r="D811" s="61"/>
      <c r="E811" s="62"/>
      <c r="F811" s="87"/>
      <c r="G811" s="64"/>
      <c r="H811" s="88"/>
      <c r="I811" s="88"/>
      <c r="J811" s="88"/>
      <c r="K811" s="88"/>
      <c r="L811" s="88"/>
      <c r="M811" s="88"/>
      <c r="N811" s="88"/>
      <c r="O811" s="88"/>
      <c r="P811" s="88"/>
      <c r="Q811" s="62"/>
      <c r="R811" s="62"/>
      <c r="S811" s="63"/>
    </row>
    <row r="812">
      <c r="A812" s="90"/>
      <c r="B812" s="90"/>
      <c r="C812" s="67"/>
      <c r="D812" s="61"/>
      <c r="E812" s="62"/>
      <c r="F812" s="87"/>
      <c r="G812" s="64"/>
      <c r="H812" s="88"/>
      <c r="I812" s="88"/>
      <c r="J812" s="88"/>
      <c r="K812" s="88"/>
      <c r="L812" s="88"/>
      <c r="M812" s="88"/>
      <c r="N812" s="88"/>
      <c r="O812" s="88"/>
      <c r="P812" s="88"/>
      <c r="Q812" s="62"/>
      <c r="R812" s="62"/>
      <c r="S812" s="63"/>
    </row>
    <row r="813">
      <c r="A813" s="90"/>
      <c r="B813" s="90"/>
      <c r="C813" s="67"/>
      <c r="D813" s="61"/>
      <c r="E813" s="62"/>
      <c r="F813" s="87"/>
      <c r="G813" s="64"/>
      <c r="H813" s="88"/>
      <c r="I813" s="88"/>
      <c r="J813" s="88"/>
      <c r="K813" s="88"/>
      <c r="L813" s="88"/>
      <c r="M813" s="88"/>
      <c r="N813" s="88"/>
      <c r="O813" s="88"/>
      <c r="P813" s="88"/>
      <c r="Q813" s="62"/>
      <c r="R813" s="62"/>
      <c r="S813" s="63"/>
    </row>
    <row r="814">
      <c r="A814" s="90"/>
      <c r="B814" s="90"/>
      <c r="C814" s="67"/>
      <c r="D814" s="61"/>
      <c r="E814" s="62"/>
      <c r="F814" s="87"/>
      <c r="G814" s="64"/>
      <c r="H814" s="88"/>
      <c r="I814" s="88"/>
      <c r="J814" s="88"/>
      <c r="K814" s="88"/>
      <c r="L814" s="88"/>
      <c r="M814" s="88"/>
      <c r="N814" s="88"/>
      <c r="O814" s="88"/>
      <c r="P814" s="88"/>
      <c r="Q814" s="62"/>
      <c r="R814" s="62"/>
      <c r="S814" s="63"/>
    </row>
    <row r="815">
      <c r="A815" s="90"/>
      <c r="B815" s="90"/>
      <c r="C815" s="67"/>
      <c r="D815" s="61"/>
      <c r="E815" s="62"/>
      <c r="F815" s="87"/>
      <c r="G815" s="64"/>
      <c r="H815" s="88"/>
      <c r="I815" s="88"/>
      <c r="J815" s="88"/>
      <c r="K815" s="88"/>
      <c r="L815" s="88"/>
      <c r="M815" s="88"/>
      <c r="N815" s="88"/>
      <c r="O815" s="88"/>
      <c r="P815" s="88"/>
      <c r="Q815" s="62"/>
      <c r="R815" s="62"/>
      <c r="S815" s="63"/>
    </row>
    <row r="816">
      <c r="A816" s="90"/>
      <c r="B816" s="90"/>
      <c r="C816" s="67"/>
      <c r="D816" s="61"/>
      <c r="E816" s="62"/>
      <c r="F816" s="87"/>
      <c r="G816" s="64"/>
      <c r="H816" s="88"/>
      <c r="I816" s="88"/>
      <c r="J816" s="88"/>
      <c r="K816" s="88"/>
      <c r="L816" s="88"/>
      <c r="M816" s="88"/>
      <c r="N816" s="88"/>
      <c r="O816" s="88"/>
      <c r="P816" s="88"/>
      <c r="Q816" s="62"/>
      <c r="R816" s="62"/>
      <c r="S816" s="63"/>
    </row>
    <row r="817">
      <c r="A817" s="90"/>
      <c r="B817" s="90"/>
      <c r="C817" s="67"/>
      <c r="D817" s="61"/>
      <c r="E817" s="62"/>
      <c r="F817" s="87"/>
      <c r="G817" s="64"/>
      <c r="H817" s="88"/>
      <c r="I817" s="88"/>
      <c r="J817" s="88"/>
      <c r="K817" s="88"/>
      <c r="L817" s="88"/>
      <c r="M817" s="88"/>
      <c r="N817" s="88"/>
      <c r="O817" s="88"/>
      <c r="P817" s="88"/>
      <c r="Q817" s="62"/>
      <c r="R817" s="62"/>
      <c r="S817" s="63"/>
    </row>
    <row r="818">
      <c r="A818" s="90"/>
      <c r="B818" s="90"/>
      <c r="C818" s="67"/>
      <c r="D818" s="61"/>
      <c r="E818" s="62"/>
      <c r="F818" s="87"/>
      <c r="G818" s="64"/>
      <c r="H818" s="88"/>
      <c r="I818" s="88"/>
      <c r="J818" s="88"/>
      <c r="K818" s="88"/>
      <c r="L818" s="88"/>
      <c r="M818" s="88"/>
      <c r="N818" s="88"/>
      <c r="O818" s="88"/>
      <c r="P818" s="88"/>
      <c r="Q818" s="62"/>
      <c r="R818" s="62"/>
      <c r="S818" s="63"/>
    </row>
    <row r="819">
      <c r="A819" s="90"/>
      <c r="B819" s="90"/>
      <c r="C819" s="67"/>
      <c r="D819" s="61"/>
      <c r="E819" s="62"/>
      <c r="F819" s="87"/>
      <c r="G819" s="64"/>
      <c r="H819" s="88"/>
      <c r="I819" s="88"/>
      <c r="J819" s="88"/>
      <c r="K819" s="88"/>
      <c r="L819" s="88"/>
      <c r="M819" s="88"/>
      <c r="N819" s="88"/>
      <c r="O819" s="88"/>
      <c r="P819" s="88"/>
      <c r="Q819" s="62"/>
      <c r="R819" s="62"/>
      <c r="S819" s="63"/>
    </row>
    <row r="820">
      <c r="A820" s="90"/>
      <c r="B820" s="90"/>
      <c r="C820" s="67"/>
      <c r="D820" s="61"/>
      <c r="E820" s="62"/>
      <c r="F820" s="87"/>
      <c r="G820" s="64"/>
      <c r="H820" s="88"/>
      <c r="I820" s="88"/>
      <c r="J820" s="88"/>
      <c r="K820" s="88"/>
      <c r="L820" s="88"/>
      <c r="M820" s="88"/>
      <c r="N820" s="88"/>
      <c r="O820" s="88"/>
      <c r="P820" s="88"/>
      <c r="Q820" s="62"/>
      <c r="R820" s="62"/>
      <c r="S820" s="63"/>
    </row>
    <row r="821">
      <c r="A821" s="90"/>
      <c r="B821" s="90"/>
      <c r="C821" s="67"/>
      <c r="D821" s="61"/>
      <c r="E821" s="62"/>
      <c r="F821" s="87"/>
      <c r="G821" s="64"/>
      <c r="H821" s="88"/>
      <c r="I821" s="88"/>
      <c r="J821" s="88"/>
      <c r="K821" s="88"/>
      <c r="L821" s="88"/>
      <c r="M821" s="88"/>
      <c r="N821" s="88"/>
      <c r="O821" s="88"/>
      <c r="P821" s="88"/>
      <c r="Q821" s="62"/>
      <c r="R821" s="62"/>
      <c r="S821" s="63"/>
    </row>
    <row r="822">
      <c r="A822" s="90"/>
      <c r="B822" s="90"/>
      <c r="C822" s="67"/>
      <c r="D822" s="61"/>
      <c r="E822" s="62"/>
      <c r="F822" s="87"/>
      <c r="G822" s="64"/>
      <c r="H822" s="88"/>
      <c r="I822" s="88"/>
      <c r="J822" s="88"/>
      <c r="K822" s="88"/>
      <c r="L822" s="88"/>
      <c r="M822" s="88"/>
      <c r="N822" s="88"/>
      <c r="O822" s="88"/>
      <c r="P822" s="88"/>
      <c r="Q822" s="62"/>
      <c r="R822" s="62"/>
      <c r="S822" s="63"/>
    </row>
    <row r="823">
      <c r="A823" s="90"/>
      <c r="B823" s="90"/>
      <c r="C823" s="67"/>
      <c r="D823" s="61"/>
      <c r="E823" s="62"/>
      <c r="F823" s="87"/>
      <c r="G823" s="64"/>
      <c r="H823" s="88"/>
      <c r="I823" s="88"/>
      <c r="J823" s="88"/>
      <c r="K823" s="88"/>
      <c r="L823" s="88"/>
      <c r="M823" s="88"/>
      <c r="N823" s="88"/>
      <c r="O823" s="88"/>
      <c r="P823" s="88"/>
      <c r="Q823" s="62"/>
      <c r="R823" s="62"/>
      <c r="S823" s="63"/>
    </row>
    <row r="824">
      <c r="A824" s="90"/>
      <c r="B824" s="90"/>
      <c r="C824" s="67"/>
      <c r="D824" s="61"/>
      <c r="E824" s="62"/>
      <c r="F824" s="87"/>
      <c r="G824" s="64"/>
      <c r="H824" s="88"/>
      <c r="I824" s="88"/>
      <c r="J824" s="88"/>
      <c r="K824" s="88"/>
      <c r="L824" s="88"/>
      <c r="M824" s="88"/>
      <c r="N824" s="88"/>
      <c r="O824" s="88"/>
      <c r="P824" s="88"/>
      <c r="Q824" s="62"/>
      <c r="R824" s="62"/>
      <c r="S824" s="63"/>
    </row>
    <row r="825">
      <c r="A825" s="90"/>
      <c r="B825" s="90"/>
      <c r="C825" s="67"/>
      <c r="D825" s="61"/>
      <c r="E825" s="62"/>
      <c r="F825" s="87"/>
      <c r="G825" s="64"/>
      <c r="H825" s="88"/>
      <c r="I825" s="88"/>
      <c r="J825" s="88"/>
      <c r="K825" s="88"/>
      <c r="L825" s="88"/>
      <c r="M825" s="88"/>
      <c r="N825" s="88"/>
      <c r="O825" s="88"/>
      <c r="P825" s="88"/>
      <c r="Q825" s="62"/>
      <c r="R825" s="62"/>
      <c r="S825" s="63"/>
    </row>
    <row r="826">
      <c r="A826" s="90"/>
      <c r="B826" s="90"/>
      <c r="C826" s="67"/>
      <c r="D826" s="61"/>
      <c r="E826" s="62"/>
      <c r="F826" s="87"/>
      <c r="G826" s="64"/>
      <c r="H826" s="88"/>
      <c r="I826" s="88"/>
      <c r="J826" s="88"/>
      <c r="K826" s="88"/>
      <c r="L826" s="88"/>
      <c r="M826" s="88"/>
      <c r="N826" s="88"/>
      <c r="O826" s="88"/>
      <c r="P826" s="88"/>
      <c r="Q826" s="62"/>
      <c r="R826" s="62"/>
      <c r="S826" s="63"/>
    </row>
    <row r="827">
      <c r="A827" s="90"/>
      <c r="B827" s="90"/>
      <c r="C827" s="67"/>
      <c r="D827" s="61"/>
      <c r="E827" s="62"/>
      <c r="F827" s="87"/>
      <c r="G827" s="64"/>
      <c r="H827" s="88"/>
      <c r="I827" s="88"/>
      <c r="J827" s="88"/>
      <c r="K827" s="88"/>
      <c r="L827" s="88"/>
      <c r="M827" s="88"/>
      <c r="N827" s="88"/>
      <c r="O827" s="88"/>
      <c r="P827" s="88"/>
      <c r="Q827" s="62"/>
      <c r="R827" s="62"/>
      <c r="S827" s="63"/>
    </row>
    <row r="828">
      <c r="A828" s="90"/>
      <c r="B828" s="90"/>
      <c r="C828" s="67"/>
      <c r="D828" s="61"/>
      <c r="E828" s="62"/>
      <c r="F828" s="87"/>
      <c r="G828" s="64"/>
      <c r="H828" s="88"/>
      <c r="I828" s="88"/>
      <c r="J828" s="88"/>
      <c r="K828" s="88"/>
      <c r="L828" s="88"/>
      <c r="M828" s="88"/>
      <c r="N828" s="88"/>
      <c r="O828" s="88"/>
      <c r="P828" s="88"/>
      <c r="Q828" s="62"/>
      <c r="R828" s="62"/>
      <c r="S828" s="63"/>
    </row>
    <row r="829">
      <c r="A829" s="90"/>
      <c r="B829" s="90"/>
      <c r="C829" s="67"/>
      <c r="D829" s="61"/>
      <c r="E829" s="62"/>
      <c r="F829" s="87"/>
      <c r="G829" s="64"/>
      <c r="H829" s="88"/>
      <c r="I829" s="88"/>
      <c r="J829" s="88"/>
      <c r="K829" s="88"/>
      <c r="L829" s="88"/>
      <c r="M829" s="88"/>
      <c r="N829" s="88"/>
      <c r="O829" s="88"/>
      <c r="P829" s="88"/>
      <c r="Q829" s="62"/>
      <c r="R829" s="62"/>
      <c r="S829" s="63"/>
    </row>
    <row r="830">
      <c r="A830" s="90"/>
      <c r="B830" s="90"/>
      <c r="C830" s="67"/>
      <c r="D830" s="61"/>
      <c r="E830" s="62"/>
      <c r="F830" s="87"/>
      <c r="G830" s="64"/>
      <c r="H830" s="88"/>
      <c r="I830" s="88"/>
      <c r="J830" s="88"/>
      <c r="K830" s="88"/>
      <c r="L830" s="88"/>
      <c r="M830" s="88"/>
      <c r="N830" s="88"/>
      <c r="O830" s="88"/>
      <c r="P830" s="88"/>
      <c r="Q830" s="62"/>
      <c r="R830" s="62"/>
      <c r="S830" s="63"/>
    </row>
    <row r="831">
      <c r="A831" s="90"/>
      <c r="B831" s="90"/>
      <c r="C831" s="67"/>
      <c r="D831" s="61"/>
      <c r="E831" s="62"/>
      <c r="F831" s="87"/>
      <c r="G831" s="64"/>
      <c r="H831" s="88"/>
      <c r="I831" s="88"/>
      <c r="J831" s="88"/>
      <c r="K831" s="88"/>
      <c r="L831" s="88"/>
      <c r="M831" s="88"/>
      <c r="N831" s="88"/>
      <c r="O831" s="88"/>
      <c r="P831" s="88"/>
      <c r="Q831" s="62"/>
      <c r="R831" s="62"/>
      <c r="S831" s="63"/>
    </row>
    <row r="832">
      <c r="A832" s="90"/>
      <c r="B832" s="90"/>
      <c r="C832" s="67"/>
      <c r="D832" s="61"/>
      <c r="E832" s="62"/>
      <c r="F832" s="87"/>
      <c r="G832" s="64"/>
      <c r="H832" s="88"/>
      <c r="I832" s="88"/>
      <c r="J832" s="88"/>
      <c r="K832" s="88"/>
      <c r="L832" s="88"/>
      <c r="M832" s="88"/>
      <c r="N832" s="88"/>
      <c r="O832" s="88"/>
      <c r="P832" s="88"/>
      <c r="Q832" s="62"/>
      <c r="R832" s="62"/>
      <c r="S832" s="63"/>
    </row>
    <row r="833">
      <c r="A833" s="90"/>
      <c r="B833" s="90"/>
      <c r="C833" s="67"/>
      <c r="D833" s="61"/>
      <c r="E833" s="62"/>
      <c r="F833" s="87"/>
      <c r="G833" s="64"/>
      <c r="H833" s="88"/>
      <c r="I833" s="88"/>
      <c r="J833" s="88"/>
      <c r="K833" s="88"/>
      <c r="L833" s="88"/>
      <c r="M833" s="88"/>
      <c r="N833" s="88"/>
      <c r="O833" s="88"/>
      <c r="P833" s="88"/>
      <c r="Q833" s="62"/>
      <c r="R833" s="62"/>
      <c r="S833" s="63"/>
    </row>
    <row r="834">
      <c r="A834" s="90"/>
      <c r="B834" s="90"/>
      <c r="C834" s="67"/>
      <c r="D834" s="61"/>
      <c r="E834" s="62"/>
      <c r="F834" s="87"/>
      <c r="G834" s="64"/>
      <c r="H834" s="88"/>
      <c r="I834" s="88"/>
      <c r="J834" s="88"/>
      <c r="K834" s="88"/>
      <c r="L834" s="88"/>
      <c r="M834" s="88"/>
      <c r="N834" s="88"/>
      <c r="O834" s="88"/>
      <c r="P834" s="88"/>
      <c r="Q834" s="62"/>
      <c r="R834" s="62"/>
      <c r="S834" s="63"/>
    </row>
    <row r="835">
      <c r="A835" s="90"/>
      <c r="B835" s="90"/>
      <c r="C835" s="67"/>
      <c r="D835" s="61"/>
      <c r="E835" s="62"/>
      <c r="F835" s="87"/>
      <c r="G835" s="64"/>
      <c r="H835" s="88"/>
      <c r="I835" s="88"/>
      <c r="J835" s="88"/>
      <c r="K835" s="88"/>
      <c r="L835" s="88"/>
      <c r="M835" s="88"/>
      <c r="N835" s="88"/>
      <c r="O835" s="88"/>
      <c r="P835" s="88"/>
      <c r="Q835" s="62"/>
      <c r="R835" s="62"/>
      <c r="S835" s="63"/>
    </row>
    <row r="836">
      <c r="A836" s="90"/>
      <c r="B836" s="90"/>
      <c r="C836" s="67"/>
      <c r="D836" s="61"/>
      <c r="E836" s="62"/>
      <c r="F836" s="87"/>
      <c r="G836" s="64"/>
      <c r="H836" s="88"/>
      <c r="I836" s="88"/>
      <c r="J836" s="88"/>
      <c r="K836" s="88"/>
      <c r="L836" s="88"/>
      <c r="M836" s="88"/>
      <c r="N836" s="88"/>
      <c r="O836" s="88"/>
      <c r="P836" s="88"/>
      <c r="Q836" s="62"/>
      <c r="R836" s="62"/>
      <c r="S836" s="63"/>
    </row>
    <row r="837">
      <c r="A837" s="90"/>
      <c r="B837" s="90"/>
      <c r="C837" s="67"/>
      <c r="D837" s="61"/>
      <c r="E837" s="62"/>
      <c r="F837" s="87"/>
      <c r="G837" s="64"/>
      <c r="H837" s="88"/>
      <c r="I837" s="88"/>
      <c r="J837" s="88"/>
      <c r="K837" s="88"/>
      <c r="L837" s="88"/>
      <c r="M837" s="88"/>
      <c r="N837" s="88"/>
      <c r="O837" s="88"/>
      <c r="P837" s="88"/>
      <c r="Q837" s="62"/>
      <c r="R837" s="62"/>
      <c r="S837" s="63"/>
    </row>
    <row r="838">
      <c r="A838" s="90"/>
      <c r="B838" s="90"/>
      <c r="C838" s="67"/>
      <c r="D838" s="61"/>
      <c r="E838" s="62"/>
      <c r="F838" s="87"/>
      <c r="G838" s="64"/>
      <c r="H838" s="88"/>
      <c r="I838" s="88"/>
      <c r="J838" s="88"/>
      <c r="K838" s="88"/>
      <c r="L838" s="88"/>
      <c r="M838" s="88"/>
      <c r="N838" s="88"/>
      <c r="O838" s="88"/>
      <c r="P838" s="88"/>
      <c r="Q838" s="62"/>
      <c r="R838" s="62"/>
      <c r="S838" s="63"/>
    </row>
    <row r="839">
      <c r="A839" s="90"/>
      <c r="B839" s="90"/>
      <c r="C839" s="67"/>
      <c r="D839" s="61"/>
      <c r="E839" s="62"/>
      <c r="F839" s="87"/>
      <c r="G839" s="64"/>
      <c r="H839" s="88"/>
      <c r="I839" s="88"/>
      <c r="J839" s="88"/>
      <c r="K839" s="88"/>
      <c r="L839" s="88"/>
      <c r="M839" s="88"/>
      <c r="N839" s="88"/>
      <c r="O839" s="88"/>
      <c r="P839" s="88"/>
      <c r="Q839" s="62"/>
      <c r="R839" s="62"/>
      <c r="S839" s="63"/>
    </row>
    <row r="840">
      <c r="A840" s="90"/>
      <c r="B840" s="90"/>
      <c r="C840" s="67"/>
      <c r="D840" s="61"/>
      <c r="E840" s="62"/>
      <c r="F840" s="87"/>
      <c r="G840" s="64"/>
      <c r="H840" s="88"/>
      <c r="I840" s="88"/>
      <c r="J840" s="88"/>
      <c r="K840" s="88"/>
      <c r="L840" s="88"/>
      <c r="M840" s="88"/>
      <c r="N840" s="88"/>
      <c r="O840" s="88"/>
      <c r="P840" s="88"/>
      <c r="Q840" s="62"/>
      <c r="R840" s="62"/>
      <c r="S840" s="63"/>
    </row>
    <row r="841">
      <c r="A841" s="90"/>
      <c r="B841" s="90"/>
      <c r="C841" s="67"/>
      <c r="D841" s="61"/>
      <c r="E841" s="62"/>
      <c r="F841" s="87"/>
      <c r="G841" s="64"/>
      <c r="H841" s="88"/>
      <c r="I841" s="88"/>
      <c r="J841" s="88"/>
      <c r="K841" s="88"/>
      <c r="L841" s="88"/>
      <c r="M841" s="88"/>
      <c r="N841" s="88"/>
      <c r="O841" s="88"/>
      <c r="P841" s="88"/>
      <c r="Q841" s="62"/>
      <c r="R841" s="62"/>
      <c r="S841" s="63"/>
    </row>
    <row r="842">
      <c r="A842" s="90"/>
      <c r="B842" s="90"/>
      <c r="C842" s="67"/>
      <c r="D842" s="61"/>
      <c r="E842" s="62"/>
      <c r="F842" s="87"/>
      <c r="G842" s="64"/>
      <c r="H842" s="88"/>
      <c r="I842" s="88"/>
      <c r="J842" s="88"/>
      <c r="K842" s="88"/>
      <c r="L842" s="88"/>
      <c r="M842" s="88"/>
      <c r="N842" s="88"/>
      <c r="O842" s="88"/>
      <c r="P842" s="88"/>
      <c r="Q842" s="62"/>
      <c r="R842" s="62"/>
      <c r="S842" s="63"/>
    </row>
    <row r="843">
      <c r="A843" s="90"/>
      <c r="B843" s="90"/>
      <c r="C843" s="67"/>
      <c r="D843" s="61"/>
      <c r="E843" s="62"/>
      <c r="F843" s="87"/>
      <c r="G843" s="64"/>
      <c r="H843" s="88"/>
      <c r="I843" s="88"/>
      <c r="J843" s="88"/>
      <c r="K843" s="88"/>
      <c r="L843" s="88"/>
      <c r="M843" s="88"/>
      <c r="N843" s="88"/>
      <c r="O843" s="88"/>
      <c r="P843" s="88"/>
      <c r="Q843" s="62"/>
      <c r="R843" s="62"/>
      <c r="S843" s="63"/>
    </row>
    <row r="844">
      <c r="A844" s="90"/>
      <c r="B844" s="90"/>
      <c r="C844" s="67"/>
      <c r="D844" s="61"/>
      <c r="E844" s="62"/>
      <c r="F844" s="87"/>
      <c r="G844" s="64"/>
      <c r="H844" s="88"/>
      <c r="I844" s="88"/>
      <c r="J844" s="88"/>
      <c r="K844" s="88"/>
      <c r="L844" s="88"/>
      <c r="M844" s="88"/>
      <c r="N844" s="88"/>
      <c r="O844" s="88"/>
      <c r="P844" s="88"/>
      <c r="Q844" s="62"/>
      <c r="R844" s="62"/>
      <c r="S844" s="63"/>
    </row>
    <row r="845">
      <c r="A845" s="90"/>
      <c r="B845" s="90"/>
      <c r="C845" s="67"/>
      <c r="D845" s="61"/>
      <c r="E845" s="62"/>
      <c r="F845" s="87"/>
      <c r="G845" s="64"/>
      <c r="H845" s="88"/>
      <c r="I845" s="88"/>
      <c r="J845" s="88"/>
      <c r="K845" s="88"/>
      <c r="L845" s="88"/>
      <c r="M845" s="88"/>
      <c r="N845" s="88"/>
      <c r="O845" s="88"/>
      <c r="P845" s="88"/>
      <c r="Q845" s="62"/>
      <c r="R845" s="62"/>
      <c r="S845" s="63"/>
    </row>
    <row r="846">
      <c r="A846" s="90"/>
      <c r="B846" s="90"/>
      <c r="C846" s="67"/>
      <c r="D846" s="61"/>
      <c r="E846" s="62"/>
      <c r="F846" s="87"/>
      <c r="G846" s="64"/>
      <c r="H846" s="88"/>
      <c r="I846" s="88"/>
      <c r="J846" s="88"/>
      <c r="K846" s="88"/>
      <c r="L846" s="88"/>
      <c r="M846" s="88"/>
      <c r="N846" s="88"/>
      <c r="O846" s="88"/>
      <c r="P846" s="88"/>
      <c r="Q846" s="62"/>
      <c r="R846" s="62"/>
      <c r="S846" s="63"/>
    </row>
    <row r="847">
      <c r="A847" s="90"/>
      <c r="B847" s="90"/>
      <c r="C847" s="67"/>
      <c r="D847" s="61"/>
      <c r="E847" s="62"/>
      <c r="F847" s="87"/>
      <c r="G847" s="64"/>
      <c r="H847" s="88"/>
      <c r="I847" s="88"/>
      <c r="J847" s="88"/>
      <c r="K847" s="88"/>
      <c r="L847" s="88"/>
      <c r="M847" s="88"/>
      <c r="N847" s="88"/>
      <c r="O847" s="88"/>
      <c r="P847" s="88"/>
      <c r="Q847" s="62"/>
      <c r="R847" s="62"/>
      <c r="S847" s="63"/>
    </row>
    <row r="848">
      <c r="A848" s="90"/>
      <c r="B848" s="90"/>
      <c r="C848" s="67"/>
      <c r="D848" s="61"/>
      <c r="E848" s="62"/>
      <c r="F848" s="87"/>
      <c r="G848" s="64"/>
      <c r="H848" s="88"/>
      <c r="I848" s="88"/>
      <c r="J848" s="88"/>
      <c r="K848" s="88"/>
      <c r="L848" s="88"/>
      <c r="M848" s="88"/>
      <c r="N848" s="88"/>
      <c r="O848" s="88"/>
      <c r="P848" s="88"/>
      <c r="Q848" s="62"/>
      <c r="R848" s="62"/>
      <c r="S848" s="63"/>
    </row>
    <row r="849">
      <c r="A849" s="90"/>
      <c r="B849" s="90"/>
      <c r="C849" s="67"/>
      <c r="D849" s="61"/>
      <c r="E849" s="62"/>
      <c r="F849" s="87"/>
      <c r="G849" s="64"/>
      <c r="H849" s="88"/>
      <c r="I849" s="88"/>
      <c r="J849" s="88"/>
      <c r="K849" s="88"/>
      <c r="L849" s="88"/>
      <c r="M849" s="88"/>
      <c r="N849" s="88"/>
      <c r="O849" s="88"/>
      <c r="P849" s="88"/>
      <c r="Q849" s="62"/>
      <c r="R849" s="62"/>
      <c r="S849" s="63"/>
    </row>
    <row r="850">
      <c r="A850" s="90"/>
      <c r="B850" s="90"/>
      <c r="C850" s="67"/>
      <c r="D850" s="61"/>
      <c r="E850" s="62"/>
      <c r="F850" s="87"/>
      <c r="G850" s="64"/>
      <c r="H850" s="88"/>
      <c r="I850" s="88"/>
      <c r="J850" s="88"/>
      <c r="K850" s="88"/>
      <c r="L850" s="88"/>
      <c r="M850" s="88"/>
      <c r="N850" s="88"/>
      <c r="O850" s="88"/>
      <c r="P850" s="88"/>
      <c r="Q850" s="62"/>
      <c r="R850" s="62"/>
      <c r="S850" s="63"/>
    </row>
    <row r="851">
      <c r="A851" s="90"/>
      <c r="B851" s="90"/>
      <c r="C851" s="67"/>
      <c r="D851" s="61"/>
      <c r="E851" s="62"/>
      <c r="F851" s="87"/>
      <c r="G851" s="64"/>
      <c r="H851" s="88"/>
      <c r="I851" s="88"/>
      <c r="J851" s="88"/>
      <c r="K851" s="88"/>
      <c r="L851" s="88"/>
      <c r="M851" s="88"/>
      <c r="N851" s="88"/>
      <c r="O851" s="88"/>
      <c r="P851" s="88"/>
      <c r="Q851" s="62"/>
      <c r="R851" s="62"/>
      <c r="S851" s="63"/>
    </row>
    <row r="852">
      <c r="A852" s="90"/>
      <c r="B852" s="90"/>
      <c r="C852" s="67"/>
      <c r="D852" s="61"/>
      <c r="E852" s="62"/>
      <c r="F852" s="87"/>
      <c r="G852" s="64"/>
      <c r="H852" s="88"/>
      <c r="I852" s="88"/>
      <c r="J852" s="88"/>
      <c r="K852" s="88"/>
      <c r="L852" s="88"/>
      <c r="M852" s="88"/>
      <c r="N852" s="88"/>
      <c r="O852" s="88"/>
      <c r="P852" s="88"/>
      <c r="Q852" s="62"/>
      <c r="R852" s="62"/>
      <c r="S852" s="63"/>
    </row>
    <row r="853">
      <c r="A853" s="90"/>
      <c r="B853" s="90"/>
      <c r="C853" s="67"/>
      <c r="D853" s="61"/>
      <c r="E853" s="62"/>
      <c r="F853" s="87"/>
      <c r="G853" s="64"/>
      <c r="H853" s="88"/>
      <c r="I853" s="88"/>
      <c r="J853" s="88"/>
      <c r="K853" s="88"/>
      <c r="L853" s="88"/>
      <c r="M853" s="88"/>
      <c r="N853" s="88"/>
      <c r="O853" s="88"/>
      <c r="P853" s="88"/>
      <c r="Q853" s="62"/>
      <c r="R853" s="62"/>
      <c r="S853" s="63"/>
    </row>
    <row r="854">
      <c r="A854" s="90"/>
      <c r="B854" s="90"/>
      <c r="C854" s="67"/>
      <c r="D854" s="61"/>
      <c r="E854" s="62"/>
      <c r="F854" s="87"/>
      <c r="G854" s="64"/>
      <c r="H854" s="88"/>
      <c r="I854" s="88"/>
      <c r="J854" s="88"/>
      <c r="K854" s="88"/>
      <c r="L854" s="88"/>
      <c r="M854" s="88"/>
      <c r="N854" s="88"/>
      <c r="O854" s="88"/>
      <c r="P854" s="88"/>
      <c r="Q854" s="62"/>
      <c r="R854" s="62"/>
      <c r="S854" s="63"/>
    </row>
    <row r="855">
      <c r="A855" s="90"/>
      <c r="B855" s="90"/>
      <c r="C855" s="67"/>
      <c r="D855" s="61"/>
      <c r="E855" s="62"/>
      <c r="F855" s="87"/>
      <c r="G855" s="64"/>
      <c r="H855" s="88"/>
      <c r="I855" s="88"/>
      <c r="J855" s="88"/>
      <c r="K855" s="88"/>
      <c r="L855" s="88"/>
      <c r="M855" s="88"/>
      <c r="N855" s="88"/>
      <c r="O855" s="88"/>
      <c r="P855" s="88"/>
      <c r="Q855" s="62"/>
      <c r="R855" s="62"/>
      <c r="S855" s="63"/>
    </row>
    <row r="856">
      <c r="A856" s="90"/>
      <c r="B856" s="90"/>
      <c r="C856" s="67"/>
      <c r="D856" s="61"/>
      <c r="E856" s="62"/>
      <c r="F856" s="87"/>
      <c r="G856" s="64"/>
      <c r="H856" s="88"/>
      <c r="I856" s="88"/>
      <c r="J856" s="88"/>
      <c r="K856" s="88"/>
      <c r="L856" s="88"/>
      <c r="M856" s="88"/>
      <c r="N856" s="88"/>
      <c r="O856" s="88"/>
      <c r="P856" s="88"/>
      <c r="Q856" s="62"/>
      <c r="R856" s="62"/>
      <c r="S856" s="63"/>
    </row>
    <row r="857">
      <c r="A857" s="90"/>
      <c r="B857" s="90"/>
      <c r="C857" s="67"/>
      <c r="D857" s="61"/>
      <c r="E857" s="62"/>
      <c r="F857" s="87"/>
      <c r="G857" s="64"/>
      <c r="H857" s="88"/>
      <c r="I857" s="88"/>
      <c r="J857" s="88"/>
      <c r="K857" s="88"/>
      <c r="L857" s="88"/>
      <c r="M857" s="88"/>
      <c r="N857" s="88"/>
      <c r="O857" s="88"/>
      <c r="P857" s="88"/>
      <c r="Q857" s="62"/>
      <c r="R857" s="62"/>
      <c r="S857" s="63"/>
    </row>
    <row r="858">
      <c r="A858" s="90"/>
      <c r="B858" s="90"/>
      <c r="C858" s="67"/>
      <c r="D858" s="61"/>
      <c r="E858" s="62"/>
      <c r="F858" s="87"/>
      <c r="G858" s="64"/>
      <c r="H858" s="88"/>
      <c r="I858" s="88"/>
      <c r="J858" s="88"/>
      <c r="K858" s="88"/>
      <c r="L858" s="88"/>
      <c r="M858" s="88"/>
      <c r="N858" s="88"/>
      <c r="O858" s="88"/>
      <c r="P858" s="88"/>
      <c r="Q858" s="62"/>
      <c r="R858" s="62"/>
      <c r="S858" s="63"/>
    </row>
    <row r="859">
      <c r="A859" s="90"/>
      <c r="B859" s="90"/>
      <c r="C859" s="67"/>
      <c r="D859" s="61"/>
      <c r="E859" s="62"/>
      <c r="F859" s="87"/>
      <c r="G859" s="64"/>
      <c r="H859" s="88"/>
      <c r="I859" s="88"/>
      <c r="J859" s="88"/>
      <c r="K859" s="88"/>
      <c r="L859" s="88"/>
      <c r="M859" s="88"/>
      <c r="N859" s="88"/>
      <c r="O859" s="88"/>
      <c r="P859" s="88"/>
      <c r="Q859" s="62"/>
      <c r="R859" s="62"/>
      <c r="S859" s="63"/>
    </row>
    <row r="860">
      <c r="A860" s="90"/>
      <c r="B860" s="90"/>
      <c r="C860" s="67"/>
      <c r="D860" s="61"/>
      <c r="E860" s="62"/>
      <c r="F860" s="87"/>
      <c r="G860" s="64"/>
      <c r="H860" s="88"/>
      <c r="I860" s="88"/>
      <c r="J860" s="88"/>
      <c r="K860" s="88"/>
      <c r="L860" s="88"/>
      <c r="M860" s="88"/>
      <c r="N860" s="88"/>
      <c r="O860" s="88"/>
      <c r="P860" s="88"/>
      <c r="Q860" s="62"/>
      <c r="R860" s="62"/>
      <c r="S860" s="63"/>
    </row>
    <row r="861">
      <c r="A861" s="90"/>
      <c r="B861" s="90"/>
      <c r="C861" s="67"/>
      <c r="D861" s="61"/>
      <c r="E861" s="62"/>
      <c r="F861" s="87"/>
      <c r="G861" s="64"/>
      <c r="H861" s="88"/>
      <c r="I861" s="88"/>
      <c r="J861" s="88"/>
      <c r="K861" s="88"/>
      <c r="L861" s="88"/>
      <c r="M861" s="88"/>
      <c r="N861" s="88"/>
      <c r="O861" s="88"/>
      <c r="P861" s="88"/>
      <c r="Q861" s="62"/>
      <c r="R861" s="62"/>
      <c r="S861" s="63"/>
    </row>
    <row r="862">
      <c r="A862" s="90"/>
      <c r="B862" s="90"/>
      <c r="C862" s="67"/>
      <c r="D862" s="61"/>
      <c r="E862" s="62"/>
      <c r="F862" s="87"/>
      <c r="G862" s="64"/>
      <c r="H862" s="88"/>
      <c r="I862" s="88"/>
      <c r="J862" s="88"/>
      <c r="K862" s="88"/>
      <c r="L862" s="88"/>
      <c r="M862" s="88"/>
      <c r="N862" s="88"/>
      <c r="O862" s="88"/>
      <c r="P862" s="88"/>
      <c r="Q862" s="62"/>
      <c r="R862" s="62"/>
      <c r="S862" s="63"/>
    </row>
    <row r="863">
      <c r="A863" s="90"/>
      <c r="B863" s="90"/>
      <c r="C863" s="67"/>
      <c r="D863" s="61"/>
      <c r="E863" s="62"/>
      <c r="F863" s="87"/>
      <c r="G863" s="64"/>
      <c r="H863" s="88"/>
      <c r="I863" s="88"/>
      <c r="J863" s="88"/>
      <c r="K863" s="88"/>
      <c r="L863" s="88"/>
      <c r="M863" s="88"/>
      <c r="N863" s="88"/>
      <c r="O863" s="88"/>
      <c r="P863" s="88"/>
      <c r="Q863" s="62"/>
      <c r="R863" s="62"/>
      <c r="S863" s="63"/>
    </row>
    <row r="864">
      <c r="A864" s="90"/>
      <c r="B864" s="90"/>
      <c r="C864" s="67"/>
      <c r="D864" s="61"/>
      <c r="E864" s="62"/>
      <c r="F864" s="87"/>
      <c r="G864" s="64"/>
      <c r="H864" s="88"/>
      <c r="I864" s="88"/>
      <c r="J864" s="88"/>
      <c r="K864" s="88"/>
      <c r="L864" s="88"/>
      <c r="M864" s="88"/>
      <c r="N864" s="88"/>
      <c r="O864" s="88"/>
      <c r="P864" s="88"/>
      <c r="Q864" s="62"/>
      <c r="R864" s="62"/>
      <c r="S864" s="63"/>
    </row>
    <row r="865">
      <c r="A865" s="90"/>
      <c r="B865" s="90"/>
      <c r="C865" s="67"/>
      <c r="D865" s="61"/>
      <c r="E865" s="62"/>
      <c r="F865" s="87"/>
      <c r="G865" s="64"/>
      <c r="H865" s="88"/>
      <c r="I865" s="88"/>
      <c r="J865" s="88"/>
      <c r="K865" s="88"/>
      <c r="L865" s="88"/>
      <c r="M865" s="88"/>
      <c r="N865" s="88"/>
      <c r="O865" s="88"/>
      <c r="P865" s="88"/>
      <c r="Q865" s="62"/>
      <c r="R865" s="62"/>
      <c r="S865" s="63"/>
    </row>
    <row r="866">
      <c r="A866" s="90"/>
      <c r="B866" s="90"/>
      <c r="C866" s="67"/>
      <c r="D866" s="61"/>
      <c r="E866" s="62"/>
      <c r="F866" s="87"/>
      <c r="G866" s="64"/>
      <c r="H866" s="88"/>
      <c r="I866" s="88"/>
      <c r="J866" s="88"/>
      <c r="K866" s="88"/>
      <c r="L866" s="88"/>
      <c r="M866" s="88"/>
      <c r="N866" s="88"/>
      <c r="O866" s="88"/>
      <c r="P866" s="88"/>
      <c r="Q866" s="62"/>
      <c r="R866" s="62"/>
      <c r="S866" s="63"/>
    </row>
    <row r="867">
      <c r="A867" s="90"/>
      <c r="B867" s="90"/>
      <c r="C867" s="67"/>
      <c r="D867" s="61"/>
      <c r="E867" s="62"/>
      <c r="F867" s="87"/>
      <c r="G867" s="64"/>
      <c r="H867" s="88"/>
      <c r="I867" s="88"/>
      <c r="J867" s="88"/>
      <c r="K867" s="88"/>
      <c r="L867" s="88"/>
      <c r="M867" s="88"/>
      <c r="N867" s="88"/>
      <c r="O867" s="88"/>
      <c r="P867" s="88"/>
      <c r="Q867" s="62"/>
      <c r="R867" s="62"/>
      <c r="S867" s="63"/>
    </row>
    <row r="868">
      <c r="A868" s="90"/>
      <c r="B868" s="90"/>
      <c r="C868" s="67"/>
      <c r="D868" s="61"/>
      <c r="E868" s="62"/>
      <c r="F868" s="87"/>
      <c r="G868" s="64"/>
      <c r="H868" s="88"/>
      <c r="I868" s="88"/>
      <c r="J868" s="88"/>
      <c r="K868" s="88"/>
      <c r="L868" s="88"/>
      <c r="M868" s="88"/>
      <c r="N868" s="88"/>
      <c r="O868" s="88"/>
      <c r="P868" s="88"/>
      <c r="Q868" s="62"/>
      <c r="R868" s="62"/>
      <c r="S868" s="63"/>
    </row>
    <row r="869">
      <c r="C869" s="67"/>
      <c r="D869" s="61"/>
      <c r="E869" s="62"/>
      <c r="F869" s="87"/>
      <c r="G869" s="64"/>
      <c r="H869" s="88"/>
      <c r="I869" s="88"/>
      <c r="J869" s="88"/>
      <c r="K869" s="88"/>
      <c r="L869" s="88"/>
      <c r="M869" s="88"/>
      <c r="N869" s="88"/>
      <c r="O869" s="88"/>
      <c r="P869" s="88"/>
      <c r="Q869" s="62"/>
      <c r="R869" s="62"/>
      <c r="S869" s="63"/>
    </row>
    <row r="870">
      <c r="C870" s="67"/>
      <c r="D870" s="61"/>
      <c r="E870" s="62"/>
      <c r="F870" s="87"/>
      <c r="G870" s="64"/>
      <c r="H870" s="88"/>
      <c r="I870" s="88"/>
      <c r="J870" s="88"/>
      <c r="K870" s="88"/>
      <c r="L870" s="88"/>
      <c r="M870" s="88"/>
      <c r="N870" s="88"/>
      <c r="O870" s="88"/>
      <c r="P870" s="88"/>
      <c r="Q870" s="62"/>
      <c r="R870" s="62"/>
      <c r="S870" s="63"/>
    </row>
    <row r="871">
      <c r="C871" s="67"/>
      <c r="D871" s="61"/>
      <c r="E871" s="62"/>
      <c r="F871" s="87"/>
      <c r="G871" s="64"/>
      <c r="H871" s="88"/>
      <c r="I871" s="88"/>
      <c r="J871" s="88"/>
      <c r="K871" s="88"/>
      <c r="L871" s="88"/>
      <c r="M871" s="88"/>
      <c r="N871" s="88"/>
      <c r="O871" s="88"/>
      <c r="P871" s="88"/>
      <c r="Q871" s="62"/>
      <c r="R871" s="62"/>
      <c r="S871" s="63"/>
    </row>
    <row r="872">
      <c r="C872" s="67"/>
      <c r="D872" s="61"/>
      <c r="E872" s="62"/>
      <c r="F872" s="87"/>
      <c r="G872" s="64"/>
      <c r="H872" s="88"/>
      <c r="I872" s="88"/>
      <c r="J872" s="88"/>
      <c r="K872" s="88"/>
      <c r="L872" s="88"/>
      <c r="M872" s="88"/>
      <c r="N872" s="88"/>
      <c r="O872" s="88"/>
      <c r="P872" s="88"/>
      <c r="Q872" s="62"/>
      <c r="R872" s="62"/>
      <c r="S872" s="63"/>
    </row>
    <row r="873">
      <c r="C873" s="67"/>
      <c r="D873" s="61"/>
      <c r="E873" s="62"/>
      <c r="F873" s="87"/>
      <c r="G873" s="64"/>
      <c r="H873" s="88"/>
      <c r="I873" s="88"/>
      <c r="J873" s="88"/>
      <c r="K873" s="88"/>
      <c r="L873" s="88"/>
      <c r="M873" s="88"/>
      <c r="N873" s="88"/>
      <c r="O873" s="88"/>
      <c r="P873" s="88"/>
      <c r="Q873" s="62"/>
      <c r="R873" s="62"/>
      <c r="S873" s="63"/>
    </row>
    <row r="874">
      <c r="C874" s="67"/>
      <c r="D874" s="61"/>
      <c r="E874" s="62"/>
      <c r="F874" s="87"/>
      <c r="G874" s="64"/>
      <c r="H874" s="88"/>
      <c r="I874" s="88"/>
      <c r="J874" s="88"/>
      <c r="K874" s="88"/>
      <c r="L874" s="88"/>
      <c r="M874" s="88"/>
      <c r="N874" s="88"/>
      <c r="O874" s="88"/>
      <c r="P874" s="88"/>
      <c r="Q874" s="62"/>
      <c r="R874" s="62"/>
      <c r="S874" s="63"/>
    </row>
    <row r="875">
      <c r="C875" s="67"/>
      <c r="D875" s="61"/>
      <c r="E875" s="62"/>
      <c r="F875" s="87"/>
      <c r="G875" s="64"/>
      <c r="H875" s="88"/>
      <c r="I875" s="88"/>
      <c r="J875" s="88"/>
      <c r="K875" s="88"/>
      <c r="L875" s="88"/>
      <c r="M875" s="88"/>
      <c r="N875" s="88"/>
      <c r="O875" s="88"/>
      <c r="P875" s="88"/>
      <c r="Q875" s="62"/>
      <c r="R875" s="62"/>
      <c r="S875" s="63"/>
    </row>
    <row r="876">
      <c r="C876" s="67"/>
      <c r="D876" s="61"/>
      <c r="E876" s="62"/>
      <c r="F876" s="87"/>
      <c r="G876" s="64"/>
      <c r="H876" s="88"/>
      <c r="I876" s="88"/>
      <c r="J876" s="88"/>
      <c r="K876" s="88"/>
      <c r="L876" s="88"/>
      <c r="M876" s="88"/>
      <c r="N876" s="88"/>
      <c r="O876" s="88"/>
      <c r="P876" s="88"/>
      <c r="Q876" s="62"/>
      <c r="R876" s="62"/>
      <c r="S876" s="63"/>
    </row>
    <row r="877">
      <c r="C877" s="67"/>
      <c r="D877" s="61"/>
      <c r="E877" s="62"/>
      <c r="F877" s="87"/>
      <c r="G877" s="64"/>
      <c r="H877" s="88"/>
      <c r="I877" s="88"/>
      <c r="J877" s="88"/>
      <c r="K877" s="88"/>
      <c r="L877" s="88"/>
      <c r="M877" s="88"/>
      <c r="N877" s="88"/>
      <c r="O877" s="88"/>
      <c r="P877" s="88"/>
      <c r="Q877" s="62"/>
      <c r="R877" s="62"/>
      <c r="S877" s="63"/>
    </row>
    <row r="878">
      <c r="C878" s="67"/>
      <c r="D878" s="61"/>
      <c r="E878" s="62"/>
      <c r="F878" s="87"/>
      <c r="G878" s="64"/>
      <c r="H878" s="88"/>
      <c r="I878" s="88"/>
      <c r="J878" s="88"/>
      <c r="K878" s="88"/>
      <c r="L878" s="88"/>
      <c r="M878" s="88"/>
      <c r="N878" s="88"/>
      <c r="O878" s="88"/>
      <c r="P878" s="88"/>
      <c r="Q878" s="62"/>
      <c r="R878" s="62"/>
      <c r="S878" s="63"/>
    </row>
    <row r="879">
      <c r="C879" s="67"/>
      <c r="D879" s="61"/>
      <c r="E879" s="62"/>
      <c r="F879" s="87"/>
      <c r="G879" s="64"/>
      <c r="H879" s="88"/>
      <c r="I879" s="88"/>
      <c r="J879" s="88"/>
      <c r="K879" s="88"/>
      <c r="L879" s="88"/>
      <c r="M879" s="88"/>
      <c r="N879" s="88"/>
      <c r="O879" s="88"/>
      <c r="P879" s="88"/>
      <c r="Q879" s="62"/>
      <c r="R879" s="62"/>
      <c r="S879" s="63"/>
    </row>
    <row r="880">
      <c r="C880" s="67"/>
      <c r="D880" s="61"/>
      <c r="E880" s="62"/>
      <c r="F880" s="87"/>
      <c r="G880" s="64"/>
      <c r="H880" s="88"/>
      <c r="I880" s="88"/>
      <c r="J880" s="88"/>
      <c r="K880" s="88"/>
      <c r="L880" s="88"/>
      <c r="M880" s="88"/>
      <c r="N880" s="88"/>
      <c r="O880" s="88"/>
      <c r="P880" s="88"/>
      <c r="Q880" s="62"/>
      <c r="R880" s="62"/>
      <c r="S880" s="63"/>
    </row>
    <row r="881">
      <c r="C881" s="67"/>
      <c r="D881" s="61"/>
      <c r="E881" s="62"/>
      <c r="F881" s="87"/>
      <c r="G881" s="64"/>
      <c r="H881" s="88"/>
      <c r="I881" s="88"/>
      <c r="J881" s="88"/>
      <c r="K881" s="88"/>
      <c r="L881" s="88"/>
      <c r="M881" s="88"/>
      <c r="N881" s="88"/>
      <c r="O881" s="88"/>
      <c r="P881" s="88"/>
      <c r="Q881" s="62"/>
      <c r="R881" s="62"/>
      <c r="S881" s="63"/>
    </row>
    <row r="882">
      <c r="C882" s="67"/>
      <c r="D882" s="61"/>
      <c r="E882" s="62"/>
      <c r="F882" s="87"/>
      <c r="G882" s="64"/>
      <c r="H882" s="88"/>
      <c r="I882" s="88"/>
      <c r="J882" s="88"/>
      <c r="K882" s="88"/>
      <c r="L882" s="88"/>
      <c r="M882" s="88"/>
      <c r="N882" s="88"/>
      <c r="O882" s="88"/>
      <c r="P882" s="88"/>
      <c r="Q882" s="62"/>
      <c r="R882" s="62"/>
      <c r="S882" s="63"/>
    </row>
    <row r="883">
      <c r="C883" s="67"/>
      <c r="D883" s="61"/>
      <c r="E883" s="62"/>
      <c r="F883" s="87"/>
      <c r="G883" s="64"/>
      <c r="H883" s="88"/>
      <c r="I883" s="88"/>
      <c r="J883" s="88"/>
      <c r="K883" s="88"/>
      <c r="L883" s="88"/>
      <c r="M883" s="88"/>
      <c r="N883" s="88"/>
      <c r="O883" s="88"/>
      <c r="P883" s="88"/>
      <c r="Q883" s="62"/>
      <c r="R883" s="62"/>
      <c r="S883" s="63"/>
    </row>
    <row r="884">
      <c r="C884" s="67"/>
      <c r="D884" s="61"/>
      <c r="E884" s="62"/>
      <c r="F884" s="87"/>
      <c r="G884" s="64"/>
      <c r="H884" s="88"/>
      <c r="I884" s="88"/>
      <c r="J884" s="88"/>
      <c r="K884" s="88"/>
      <c r="L884" s="88"/>
      <c r="M884" s="88"/>
      <c r="N884" s="88"/>
      <c r="O884" s="88"/>
      <c r="P884" s="88"/>
      <c r="Q884" s="62"/>
      <c r="R884" s="62"/>
      <c r="S884" s="63"/>
    </row>
    <row r="885">
      <c r="C885" s="67"/>
      <c r="D885" s="61"/>
      <c r="E885" s="62"/>
      <c r="F885" s="87"/>
      <c r="G885" s="64"/>
      <c r="H885" s="88"/>
      <c r="I885" s="88"/>
      <c r="J885" s="88"/>
      <c r="K885" s="88"/>
      <c r="L885" s="88"/>
      <c r="M885" s="88"/>
      <c r="N885" s="88"/>
      <c r="O885" s="88"/>
      <c r="P885" s="88"/>
      <c r="Q885" s="62"/>
      <c r="R885" s="62"/>
      <c r="S885" s="63"/>
    </row>
    <row r="886">
      <c r="C886" s="67"/>
      <c r="D886" s="61"/>
      <c r="E886" s="62"/>
      <c r="F886" s="87"/>
      <c r="G886" s="64"/>
      <c r="H886" s="88"/>
      <c r="I886" s="88"/>
      <c r="J886" s="88"/>
      <c r="K886" s="88"/>
      <c r="L886" s="88"/>
      <c r="M886" s="88"/>
      <c r="N886" s="88"/>
      <c r="O886" s="88"/>
      <c r="P886" s="88"/>
      <c r="Q886" s="62"/>
      <c r="R886" s="62"/>
      <c r="S886" s="63"/>
    </row>
    <row r="887">
      <c r="C887" s="67"/>
      <c r="D887" s="61"/>
      <c r="E887" s="62"/>
      <c r="F887" s="87"/>
      <c r="G887" s="64"/>
      <c r="H887" s="88"/>
      <c r="I887" s="88"/>
      <c r="J887" s="88"/>
      <c r="K887" s="88"/>
      <c r="L887" s="88"/>
      <c r="M887" s="88"/>
      <c r="N887" s="88"/>
      <c r="O887" s="88"/>
      <c r="P887" s="88"/>
      <c r="Q887" s="62"/>
      <c r="R887" s="62"/>
      <c r="S887" s="63"/>
    </row>
    <row r="888">
      <c r="C888" s="67"/>
      <c r="D888" s="61"/>
      <c r="E888" s="62"/>
      <c r="F888" s="87"/>
      <c r="G888" s="64"/>
      <c r="H888" s="88"/>
      <c r="I888" s="88"/>
      <c r="J888" s="88"/>
      <c r="K888" s="88"/>
      <c r="L888" s="88"/>
      <c r="M888" s="88"/>
      <c r="N888" s="88"/>
      <c r="O888" s="88"/>
      <c r="P888" s="88"/>
      <c r="Q888" s="62"/>
      <c r="R888" s="62"/>
      <c r="S888" s="63"/>
    </row>
    <row r="889">
      <c r="C889" s="67"/>
      <c r="D889" s="61"/>
      <c r="E889" s="62"/>
      <c r="F889" s="87"/>
      <c r="G889" s="64"/>
      <c r="H889" s="88"/>
      <c r="I889" s="88"/>
      <c r="J889" s="88"/>
      <c r="K889" s="88"/>
      <c r="L889" s="88"/>
      <c r="M889" s="88"/>
      <c r="N889" s="88"/>
      <c r="O889" s="88"/>
      <c r="P889" s="88"/>
      <c r="Q889" s="62"/>
      <c r="R889" s="62"/>
      <c r="S889" s="63"/>
    </row>
    <row r="890">
      <c r="C890" s="67"/>
      <c r="D890" s="61"/>
      <c r="E890" s="62"/>
      <c r="F890" s="87"/>
      <c r="G890" s="64"/>
      <c r="H890" s="88"/>
      <c r="I890" s="88"/>
      <c r="J890" s="88"/>
      <c r="K890" s="88"/>
      <c r="L890" s="88"/>
      <c r="M890" s="88"/>
      <c r="N890" s="88"/>
      <c r="O890" s="88"/>
      <c r="P890" s="88"/>
      <c r="Q890" s="62"/>
      <c r="R890" s="62"/>
      <c r="S890" s="63"/>
    </row>
    <row r="891">
      <c r="C891" s="67"/>
      <c r="D891" s="61"/>
      <c r="E891" s="62"/>
      <c r="F891" s="87"/>
      <c r="G891" s="64"/>
      <c r="H891" s="88"/>
      <c r="I891" s="88"/>
      <c r="J891" s="88"/>
      <c r="K891" s="88"/>
      <c r="L891" s="88"/>
      <c r="M891" s="88"/>
      <c r="N891" s="88"/>
      <c r="O891" s="88"/>
      <c r="P891" s="88"/>
      <c r="Q891" s="62"/>
      <c r="R891" s="62"/>
      <c r="S891" s="63"/>
    </row>
    <row r="892">
      <c r="C892" s="67"/>
      <c r="D892" s="61"/>
      <c r="E892" s="62"/>
      <c r="F892" s="87"/>
      <c r="G892" s="64"/>
      <c r="H892" s="88"/>
      <c r="I892" s="88"/>
      <c r="J892" s="88"/>
      <c r="K892" s="88"/>
      <c r="L892" s="88"/>
      <c r="M892" s="88"/>
      <c r="N892" s="88"/>
      <c r="O892" s="88"/>
      <c r="P892" s="88"/>
      <c r="Q892" s="62"/>
      <c r="R892" s="62"/>
      <c r="S892" s="63"/>
    </row>
    <row r="893">
      <c r="C893" s="67"/>
      <c r="D893" s="61"/>
      <c r="E893" s="62"/>
      <c r="F893" s="87"/>
      <c r="G893" s="64"/>
      <c r="H893" s="88"/>
      <c r="I893" s="88"/>
      <c r="J893" s="88"/>
      <c r="K893" s="88"/>
      <c r="L893" s="88"/>
      <c r="M893" s="88"/>
      <c r="N893" s="88"/>
      <c r="O893" s="88"/>
      <c r="P893" s="88"/>
      <c r="Q893" s="62"/>
      <c r="R893" s="62"/>
      <c r="S893" s="63"/>
    </row>
    <row r="894">
      <c r="C894" s="67"/>
      <c r="D894" s="61"/>
      <c r="E894" s="62"/>
      <c r="F894" s="87"/>
      <c r="G894" s="64"/>
      <c r="H894" s="88"/>
      <c r="I894" s="88"/>
      <c r="J894" s="88"/>
      <c r="K894" s="88"/>
      <c r="L894" s="88"/>
      <c r="M894" s="88"/>
      <c r="N894" s="88"/>
      <c r="O894" s="88"/>
      <c r="P894" s="88"/>
      <c r="Q894" s="62"/>
      <c r="R894" s="62"/>
      <c r="S894" s="63"/>
    </row>
    <row r="895">
      <c r="C895" s="67"/>
      <c r="D895" s="61"/>
      <c r="E895" s="62"/>
      <c r="F895" s="87"/>
      <c r="G895" s="64"/>
      <c r="H895" s="88"/>
      <c r="I895" s="88"/>
      <c r="J895" s="88"/>
      <c r="K895" s="88"/>
      <c r="L895" s="88"/>
      <c r="M895" s="88"/>
      <c r="N895" s="88"/>
      <c r="O895" s="88"/>
      <c r="P895" s="88"/>
      <c r="Q895" s="62"/>
      <c r="R895" s="62"/>
      <c r="S895" s="63"/>
    </row>
    <row r="896">
      <c r="C896" s="67"/>
      <c r="D896" s="61"/>
      <c r="E896" s="62"/>
      <c r="F896" s="87"/>
      <c r="G896" s="64"/>
      <c r="H896" s="88"/>
      <c r="I896" s="88"/>
      <c r="J896" s="88"/>
      <c r="K896" s="88"/>
      <c r="L896" s="88"/>
      <c r="M896" s="88"/>
      <c r="N896" s="88"/>
      <c r="O896" s="88"/>
      <c r="P896" s="88"/>
      <c r="Q896" s="62"/>
      <c r="R896" s="62"/>
      <c r="S896" s="63"/>
    </row>
    <row r="897">
      <c r="C897" s="67"/>
      <c r="D897" s="61"/>
      <c r="E897" s="62"/>
      <c r="F897" s="87"/>
      <c r="G897" s="64"/>
      <c r="H897" s="88"/>
      <c r="I897" s="88"/>
      <c r="J897" s="88"/>
      <c r="K897" s="88"/>
      <c r="L897" s="88"/>
      <c r="M897" s="88"/>
      <c r="N897" s="88"/>
      <c r="O897" s="88"/>
      <c r="P897" s="88"/>
      <c r="Q897" s="62"/>
      <c r="R897" s="62"/>
      <c r="S897" s="63"/>
    </row>
    <row r="898">
      <c r="C898" s="67"/>
      <c r="D898" s="61"/>
      <c r="E898" s="62"/>
      <c r="F898" s="87"/>
      <c r="G898" s="64"/>
      <c r="H898" s="88"/>
      <c r="I898" s="88"/>
      <c r="J898" s="88"/>
      <c r="K898" s="88"/>
      <c r="L898" s="88"/>
      <c r="M898" s="88"/>
      <c r="N898" s="88"/>
      <c r="O898" s="88"/>
      <c r="P898" s="88"/>
      <c r="Q898" s="62"/>
      <c r="R898" s="62"/>
      <c r="S898" s="63"/>
    </row>
    <row r="899">
      <c r="C899" s="67"/>
      <c r="D899" s="61"/>
      <c r="E899" s="62"/>
      <c r="F899" s="87"/>
      <c r="G899" s="64"/>
      <c r="H899" s="88"/>
      <c r="I899" s="88"/>
      <c r="J899" s="88"/>
      <c r="K899" s="88"/>
      <c r="L899" s="88"/>
      <c r="M899" s="88"/>
      <c r="N899" s="88"/>
      <c r="O899" s="88"/>
      <c r="P899" s="88"/>
      <c r="Q899" s="62"/>
      <c r="R899" s="62"/>
      <c r="S899" s="63"/>
    </row>
    <row r="900">
      <c r="C900" s="67"/>
      <c r="D900" s="61"/>
      <c r="E900" s="62"/>
      <c r="F900" s="87"/>
      <c r="G900" s="64"/>
      <c r="H900" s="88"/>
      <c r="I900" s="88"/>
      <c r="J900" s="88"/>
      <c r="K900" s="88"/>
      <c r="L900" s="88"/>
      <c r="M900" s="88"/>
      <c r="N900" s="88"/>
      <c r="O900" s="88"/>
      <c r="P900" s="88"/>
      <c r="Q900" s="62"/>
      <c r="R900" s="62"/>
      <c r="S900" s="63"/>
    </row>
    <row r="901">
      <c r="C901" s="67"/>
      <c r="D901" s="61"/>
      <c r="E901" s="62"/>
      <c r="F901" s="87"/>
      <c r="G901" s="64"/>
      <c r="H901" s="88"/>
      <c r="I901" s="88"/>
      <c r="J901" s="88"/>
      <c r="K901" s="88"/>
      <c r="L901" s="88"/>
      <c r="M901" s="88"/>
      <c r="N901" s="88"/>
      <c r="O901" s="88"/>
      <c r="P901" s="88"/>
      <c r="Q901" s="62"/>
      <c r="R901" s="62"/>
      <c r="S901" s="63"/>
    </row>
    <row r="902">
      <c r="C902" s="67"/>
      <c r="D902" s="61"/>
      <c r="E902" s="62"/>
      <c r="F902" s="87"/>
      <c r="G902" s="64"/>
      <c r="H902" s="88"/>
      <c r="I902" s="88"/>
      <c r="J902" s="88"/>
      <c r="K902" s="88"/>
      <c r="L902" s="88"/>
      <c r="M902" s="88"/>
      <c r="N902" s="88"/>
      <c r="O902" s="88"/>
      <c r="P902" s="88"/>
      <c r="Q902" s="62"/>
      <c r="R902" s="62"/>
      <c r="S902" s="63"/>
    </row>
    <row r="903">
      <c r="C903" s="67"/>
      <c r="D903" s="61"/>
      <c r="E903" s="62"/>
      <c r="F903" s="87"/>
      <c r="G903" s="64"/>
      <c r="H903" s="88"/>
      <c r="I903" s="88"/>
      <c r="J903" s="88"/>
      <c r="K903" s="88"/>
      <c r="L903" s="88"/>
      <c r="M903" s="88"/>
      <c r="N903" s="88"/>
      <c r="O903" s="88"/>
      <c r="P903" s="88"/>
      <c r="Q903" s="62"/>
      <c r="R903" s="62"/>
      <c r="S903" s="63"/>
    </row>
    <row r="904">
      <c r="C904" s="67"/>
      <c r="D904" s="61"/>
      <c r="E904" s="62"/>
      <c r="F904" s="87"/>
      <c r="G904" s="64"/>
      <c r="H904" s="88"/>
      <c r="I904" s="88"/>
      <c r="J904" s="88"/>
      <c r="K904" s="88"/>
      <c r="L904" s="88"/>
      <c r="M904" s="88"/>
      <c r="N904" s="88"/>
      <c r="O904" s="88"/>
      <c r="P904" s="88"/>
      <c r="Q904" s="62"/>
      <c r="R904" s="62"/>
      <c r="S904" s="63"/>
    </row>
    <row r="905">
      <c r="C905" s="67"/>
      <c r="D905" s="61"/>
      <c r="E905" s="62"/>
      <c r="F905" s="87"/>
      <c r="G905" s="64"/>
      <c r="H905" s="88"/>
      <c r="I905" s="88"/>
      <c r="J905" s="88"/>
      <c r="K905" s="88"/>
      <c r="L905" s="88"/>
      <c r="M905" s="88"/>
      <c r="N905" s="88"/>
      <c r="O905" s="88"/>
      <c r="P905" s="88"/>
      <c r="Q905" s="62"/>
      <c r="R905" s="62"/>
      <c r="S905" s="63"/>
    </row>
    <row r="906">
      <c r="C906" s="67"/>
      <c r="D906" s="61"/>
      <c r="E906" s="62"/>
      <c r="F906" s="87"/>
      <c r="G906" s="64"/>
      <c r="H906" s="88"/>
      <c r="I906" s="88"/>
      <c r="J906" s="88"/>
      <c r="K906" s="88"/>
      <c r="L906" s="88"/>
      <c r="M906" s="88"/>
      <c r="N906" s="88"/>
      <c r="O906" s="88"/>
      <c r="P906" s="88"/>
      <c r="Q906" s="62"/>
      <c r="R906" s="62"/>
      <c r="S906" s="63"/>
    </row>
    <row r="907">
      <c r="C907" s="67"/>
      <c r="D907" s="61"/>
      <c r="E907" s="62"/>
      <c r="F907" s="87"/>
      <c r="G907" s="64"/>
      <c r="H907" s="88"/>
      <c r="I907" s="88"/>
      <c r="J907" s="88"/>
      <c r="K907" s="88"/>
      <c r="L907" s="88"/>
      <c r="M907" s="88"/>
      <c r="N907" s="88"/>
      <c r="O907" s="88"/>
      <c r="P907" s="88"/>
      <c r="Q907" s="62"/>
      <c r="R907" s="62"/>
      <c r="S907" s="63"/>
    </row>
    <row r="908">
      <c r="C908" s="67"/>
      <c r="D908" s="61"/>
      <c r="E908" s="62"/>
      <c r="F908" s="87"/>
      <c r="G908" s="64"/>
      <c r="H908" s="88"/>
      <c r="I908" s="88"/>
      <c r="J908" s="88"/>
      <c r="K908" s="88"/>
      <c r="L908" s="88"/>
      <c r="M908" s="88"/>
      <c r="N908" s="88"/>
      <c r="O908" s="88"/>
      <c r="P908" s="88"/>
      <c r="Q908" s="62"/>
      <c r="R908" s="62"/>
      <c r="S908" s="63"/>
    </row>
    <row r="909">
      <c r="C909" s="67"/>
      <c r="D909" s="61"/>
      <c r="E909" s="62"/>
      <c r="F909" s="87"/>
      <c r="G909" s="64"/>
      <c r="H909" s="88"/>
      <c r="I909" s="88"/>
      <c r="J909" s="88"/>
      <c r="K909" s="88"/>
      <c r="L909" s="88"/>
      <c r="M909" s="88"/>
      <c r="N909" s="88"/>
      <c r="O909" s="88"/>
      <c r="P909" s="88"/>
      <c r="Q909" s="62"/>
      <c r="R909" s="62"/>
      <c r="S909" s="63"/>
    </row>
    <row r="910">
      <c r="C910" s="67"/>
      <c r="D910" s="61"/>
      <c r="E910" s="62"/>
      <c r="F910" s="87"/>
      <c r="G910" s="64"/>
      <c r="H910" s="88"/>
      <c r="I910" s="88"/>
      <c r="J910" s="88"/>
      <c r="K910" s="88"/>
      <c r="L910" s="88"/>
      <c r="M910" s="88"/>
      <c r="N910" s="88"/>
      <c r="O910" s="88"/>
      <c r="P910" s="88"/>
      <c r="Q910" s="62"/>
      <c r="R910" s="62"/>
      <c r="S910" s="63"/>
    </row>
    <row r="911">
      <c r="C911" s="67"/>
      <c r="D911" s="61"/>
      <c r="E911" s="62"/>
      <c r="F911" s="87"/>
      <c r="G911" s="64"/>
      <c r="H911" s="88"/>
      <c r="I911" s="88"/>
      <c r="J911" s="88"/>
      <c r="K911" s="88"/>
      <c r="L911" s="88"/>
      <c r="M911" s="88"/>
      <c r="N911" s="88"/>
      <c r="O911" s="88"/>
      <c r="P911" s="88"/>
      <c r="Q911" s="62"/>
      <c r="R911" s="62"/>
      <c r="S911" s="63"/>
    </row>
    <row r="912">
      <c r="C912" s="67"/>
      <c r="D912" s="61"/>
      <c r="E912" s="62"/>
      <c r="F912" s="87"/>
      <c r="G912" s="64"/>
      <c r="H912" s="88"/>
      <c r="I912" s="88"/>
      <c r="J912" s="88"/>
      <c r="K912" s="88"/>
      <c r="L912" s="88"/>
      <c r="M912" s="88"/>
      <c r="N912" s="88"/>
      <c r="O912" s="88"/>
      <c r="P912" s="88"/>
      <c r="Q912" s="62"/>
      <c r="R912" s="62"/>
      <c r="S912" s="63"/>
    </row>
    <row r="913">
      <c r="C913" s="67"/>
      <c r="D913" s="61"/>
      <c r="E913" s="62"/>
      <c r="F913" s="87"/>
      <c r="G913" s="64"/>
      <c r="H913" s="88"/>
      <c r="I913" s="88"/>
      <c r="J913" s="88"/>
      <c r="K913" s="88"/>
      <c r="L913" s="88"/>
      <c r="M913" s="88"/>
      <c r="N913" s="88"/>
      <c r="O913" s="88"/>
      <c r="P913" s="88"/>
      <c r="Q913" s="62"/>
      <c r="R913" s="62"/>
      <c r="S913" s="63"/>
    </row>
    <row r="914">
      <c r="C914" s="67"/>
      <c r="D914" s="61"/>
      <c r="E914" s="62"/>
      <c r="F914" s="87"/>
      <c r="G914" s="64"/>
      <c r="H914" s="88"/>
      <c r="I914" s="88"/>
      <c r="J914" s="88"/>
      <c r="K914" s="88"/>
      <c r="L914" s="88"/>
      <c r="M914" s="88"/>
      <c r="N914" s="88"/>
      <c r="O914" s="88"/>
      <c r="P914" s="88"/>
      <c r="Q914" s="62"/>
      <c r="R914" s="62"/>
      <c r="S914" s="63"/>
    </row>
    <row r="915">
      <c r="C915" s="67"/>
      <c r="D915" s="61"/>
      <c r="E915" s="62"/>
      <c r="F915" s="87"/>
      <c r="G915" s="64"/>
      <c r="H915" s="88"/>
      <c r="I915" s="88"/>
      <c r="J915" s="88"/>
      <c r="K915" s="88"/>
      <c r="L915" s="88"/>
      <c r="M915" s="88"/>
      <c r="N915" s="88"/>
      <c r="O915" s="88"/>
      <c r="P915" s="88"/>
      <c r="Q915" s="62"/>
      <c r="R915" s="62"/>
      <c r="S915" s="63"/>
    </row>
    <row r="916">
      <c r="C916" s="67"/>
      <c r="D916" s="61"/>
      <c r="E916" s="62"/>
      <c r="F916" s="87"/>
      <c r="G916" s="64"/>
      <c r="H916" s="88"/>
      <c r="I916" s="88"/>
      <c r="J916" s="88"/>
      <c r="K916" s="88"/>
      <c r="L916" s="88"/>
      <c r="M916" s="88"/>
      <c r="N916" s="88"/>
      <c r="O916" s="88"/>
      <c r="P916" s="88"/>
      <c r="Q916" s="62"/>
      <c r="R916" s="62"/>
      <c r="S916" s="63"/>
    </row>
    <row r="917">
      <c r="C917" s="67"/>
      <c r="D917" s="61"/>
      <c r="E917" s="62"/>
      <c r="F917" s="87"/>
      <c r="G917" s="64"/>
      <c r="H917" s="88"/>
      <c r="I917" s="88"/>
      <c r="J917" s="88"/>
      <c r="K917" s="88"/>
      <c r="L917" s="88"/>
      <c r="M917" s="88"/>
      <c r="N917" s="88"/>
      <c r="O917" s="88"/>
      <c r="P917" s="88"/>
      <c r="Q917" s="62"/>
      <c r="R917" s="62"/>
      <c r="S917" s="63"/>
    </row>
    <row r="918">
      <c r="C918" s="67"/>
      <c r="D918" s="61"/>
      <c r="E918" s="62"/>
      <c r="F918" s="87"/>
      <c r="G918" s="64"/>
      <c r="H918" s="88"/>
      <c r="I918" s="88"/>
      <c r="J918" s="88"/>
      <c r="K918" s="88"/>
      <c r="L918" s="88"/>
      <c r="M918" s="88"/>
      <c r="N918" s="88"/>
      <c r="O918" s="88"/>
      <c r="P918" s="88"/>
      <c r="Q918" s="62"/>
      <c r="R918" s="62"/>
      <c r="S918" s="63"/>
    </row>
    <row r="919">
      <c r="C919" s="67"/>
      <c r="D919" s="61"/>
      <c r="E919" s="62"/>
      <c r="F919" s="87"/>
      <c r="G919" s="64"/>
      <c r="H919" s="88"/>
      <c r="I919" s="88"/>
      <c r="J919" s="88"/>
      <c r="K919" s="88"/>
      <c r="L919" s="88"/>
      <c r="M919" s="88"/>
      <c r="N919" s="88"/>
      <c r="O919" s="88"/>
      <c r="P919" s="88"/>
      <c r="Q919" s="62"/>
      <c r="R919" s="62"/>
      <c r="S919" s="63"/>
    </row>
    <row r="920">
      <c r="C920" s="67"/>
      <c r="D920" s="61"/>
      <c r="E920" s="62"/>
      <c r="F920" s="87"/>
      <c r="G920" s="64"/>
      <c r="H920" s="88"/>
      <c r="I920" s="88"/>
      <c r="J920" s="88"/>
      <c r="K920" s="88"/>
      <c r="L920" s="88"/>
      <c r="M920" s="88"/>
      <c r="N920" s="88"/>
      <c r="O920" s="88"/>
      <c r="P920" s="88"/>
      <c r="Q920" s="62"/>
      <c r="R920" s="62"/>
      <c r="S920" s="63"/>
    </row>
    <row r="921">
      <c r="C921" s="67"/>
      <c r="D921" s="61"/>
      <c r="E921" s="62"/>
      <c r="F921" s="87"/>
      <c r="G921" s="64"/>
      <c r="H921" s="88"/>
      <c r="I921" s="88"/>
      <c r="J921" s="88"/>
      <c r="K921" s="88"/>
      <c r="L921" s="88"/>
      <c r="M921" s="88"/>
      <c r="N921" s="88"/>
      <c r="O921" s="88"/>
      <c r="P921" s="88"/>
      <c r="Q921" s="62"/>
      <c r="R921" s="62"/>
      <c r="S921" s="63"/>
    </row>
    <row r="922">
      <c r="C922" s="67"/>
      <c r="D922" s="61"/>
      <c r="E922" s="62"/>
      <c r="F922" s="87"/>
      <c r="G922" s="64"/>
      <c r="H922" s="88"/>
      <c r="I922" s="88"/>
      <c r="J922" s="88"/>
      <c r="K922" s="88"/>
      <c r="L922" s="88"/>
      <c r="M922" s="88"/>
      <c r="N922" s="88"/>
      <c r="O922" s="88"/>
      <c r="P922" s="88"/>
      <c r="Q922" s="62"/>
      <c r="R922" s="62"/>
      <c r="S922" s="63"/>
    </row>
    <row r="923">
      <c r="C923" s="67"/>
      <c r="D923" s="61"/>
      <c r="E923" s="62"/>
      <c r="F923" s="87"/>
      <c r="G923" s="64"/>
      <c r="H923" s="88"/>
      <c r="I923" s="88"/>
      <c r="J923" s="88"/>
      <c r="K923" s="88"/>
      <c r="L923" s="88"/>
      <c r="M923" s="88"/>
      <c r="N923" s="88"/>
      <c r="O923" s="88"/>
      <c r="P923" s="88"/>
      <c r="Q923" s="62"/>
      <c r="R923" s="62"/>
      <c r="S923" s="63"/>
    </row>
    <row r="924">
      <c r="C924" s="67"/>
      <c r="D924" s="61"/>
      <c r="E924" s="62"/>
      <c r="F924" s="87"/>
      <c r="G924" s="64"/>
      <c r="H924" s="88"/>
      <c r="I924" s="88"/>
      <c r="J924" s="88"/>
      <c r="K924" s="88"/>
      <c r="L924" s="88"/>
      <c r="M924" s="88"/>
      <c r="N924" s="88"/>
      <c r="O924" s="88"/>
      <c r="P924" s="88"/>
      <c r="Q924" s="62"/>
      <c r="R924" s="62"/>
      <c r="S924" s="63"/>
    </row>
    <row r="925">
      <c r="C925" s="67"/>
      <c r="D925" s="61"/>
      <c r="E925" s="62"/>
      <c r="F925" s="87"/>
      <c r="G925" s="64"/>
      <c r="H925" s="88"/>
      <c r="I925" s="88"/>
      <c r="J925" s="88"/>
      <c r="K925" s="88"/>
      <c r="L925" s="88"/>
      <c r="M925" s="88"/>
      <c r="N925" s="88"/>
      <c r="O925" s="88"/>
      <c r="P925" s="88"/>
      <c r="Q925" s="62"/>
      <c r="R925" s="62"/>
      <c r="S925" s="63"/>
    </row>
    <row r="926">
      <c r="C926" s="67"/>
      <c r="D926" s="61"/>
      <c r="E926" s="62"/>
      <c r="F926" s="87"/>
      <c r="G926" s="64"/>
      <c r="H926" s="88"/>
      <c r="I926" s="88"/>
      <c r="J926" s="88"/>
      <c r="K926" s="88"/>
      <c r="L926" s="88"/>
      <c r="M926" s="88"/>
      <c r="N926" s="88"/>
      <c r="O926" s="88"/>
      <c r="P926" s="88"/>
      <c r="Q926" s="62"/>
      <c r="R926" s="62"/>
      <c r="S926" s="63"/>
    </row>
    <row r="927">
      <c r="C927" s="67"/>
      <c r="D927" s="61"/>
      <c r="E927" s="62"/>
      <c r="F927" s="87"/>
      <c r="G927" s="64"/>
      <c r="H927" s="88"/>
      <c r="I927" s="88"/>
      <c r="J927" s="88"/>
      <c r="K927" s="88"/>
      <c r="L927" s="88"/>
      <c r="M927" s="88"/>
      <c r="N927" s="88"/>
      <c r="O927" s="88"/>
      <c r="P927" s="88"/>
      <c r="Q927" s="62"/>
      <c r="R927" s="62"/>
      <c r="S927" s="63"/>
    </row>
    <row r="928">
      <c r="C928" s="67"/>
      <c r="D928" s="61"/>
      <c r="E928" s="62"/>
      <c r="F928" s="87"/>
      <c r="G928" s="64"/>
      <c r="H928" s="88"/>
      <c r="I928" s="88"/>
      <c r="J928" s="88"/>
      <c r="K928" s="88"/>
      <c r="L928" s="88"/>
      <c r="M928" s="88"/>
      <c r="N928" s="88"/>
      <c r="O928" s="88"/>
      <c r="P928" s="88"/>
      <c r="Q928" s="62"/>
      <c r="R928" s="62"/>
      <c r="S928" s="63"/>
    </row>
    <row r="929">
      <c r="C929" s="67"/>
      <c r="D929" s="61"/>
      <c r="E929" s="62"/>
      <c r="F929" s="87"/>
      <c r="G929" s="64"/>
      <c r="H929" s="88"/>
      <c r="I929" s="88"/>
      <c r="J929" s="88"/>
      <c r="K929" s="88"/>
      <c r="L929" s="88"/>
      <c r="M929" s="88"/>
      <c r="N929" s="88"/>
      <c r="O929" s="88"/>
      <c r="P929" s="88"/>
      <c r="Q929" s="62"/>
      <c r="R929" s="62"/>
      <c r="S929" s="63"/>
    </row>
    <row r="930">
      <c r="C930" s="67"/>
      <c r="D930" s="61"/>
      <c r="E930" s="62"/>
      <c r="F930" s="87"/>
      <c r="G930" s="64"/>
      <c r="H930" s="88"/>
      <c r="I930" s="88"/>
      <c r="J930" s="88"/>
      <c r="K930" s="88"/>
      <c r="L930" s="88"/>
      <c r="M930" s="88"/>
      <c r="N930" s="88"/>
      <c r="O930" s="88"/>
      <c r="P930" s="88"/>
      <c r="Q930" s="62"/>
      <c r="R930" s="62"/>
      <c r="S930" s="63"/>
    </row>
    <row r="931">
      <c r="C931" s="67"/>
      <c r="D931" s="61"/>
      <c r="E931" s="62"/>
      <c r="F931" s="87"/>
      <c r="G931" s="64"/>
      <c r="H931" s="88"/>
      <c r="I931" s="88"/>
      <c r="J931" s="88"/>
      <c r="K931" s="88"/>
      <c r="L931" s="88"/>
      <c r="M931" s="88"/>
      <c r="N931" s="88"/>
      <c r="O931" s="88"/>
      <c r="P931" s="88"/>
      <c r="Q931" s="62"/>
      <c r="R931" s="62"/>
      <c r="S931" s="63"/>
    </row>
    <row r="932">
      <c r="C932" s="67"/>
      <c r="D932" s="61"/>
      <c r="E932" s="62"/>
      <c r="F932" s="87"/>
      <c r="G932" s="64"/>
      <c r="H932" s="88"/>
      <c r="I932" s="88"/>
      <c r="J932" s="88"/>
      <c r="K932" s="88"/>
      <c r="L932" s="88"/>
      <c r="M932" s="88"/>
      <c r="N932" s="88"/>
      <c r="O932" s="88"/>
      <c r="P932" s="88"/>
      <c r="Q932" s="62"/>
      <c r="R932" s="62"/>
      <c r="S932" s="63"/>
    </row>
    <row r="933">
      <c r="C933" s="67"/>
      <c r="D933" s="61"/>
      <c r="E933" s="62"/>
      <c r="F933" s="87"/>
      <c r="G933" s="64"/>
      <c r="H933" s="88"/>
      <c r="I933" s="88"/>
      <c r="J933" s="88"/>
      <c r="K933" s="88"/>
      <c r="L933" s="88"/>
      <c r="M933" s="88"/>
      <c r="N933" s="88"/>
      <c r="O933" s="88"/>
      <c r="P933" s="88"/>
      <c r="Q933" s="62"/>
      <c r="R933" s="62"/>
      <c r="S933" s="63"/>
    </row>
    <row r="934">
      <c r="C934" s="67"/>
      <c r="D934" s="61"/>
      <c r="E934" s="62"/>
      <c r="F934" s="87"/>
      <c r="G934" s="64"/>
      <c r="H934" s="88"/>
      <c r="I934" s="88"/>
      <c r="J934" s="88"/>
      <c r="K934" s="88"/>
      <c r="L934" s="88"/>
      <c r="M934" s="88"/>
      <c r="N934" s="88"/>
      <c r="O934" s="88"/>
      <c r="P934" s="88"/>
      <c r="Q934" s="62"/>
      <c r="R934" s="62"/>
      <c r="S934" s="63"/>
    </row>
    <row r="935">
      <c r="C935" s="67"/>
      <c r="D935" s="61"/>
      <c r="E935" s="62"/>
      <c r="F935" s="87"/>
      <c r="G935" s="64"/>
      <c r="H935" s="88"/>
      <c r="I935" s="88"/>
      <c r="J935" s="88"/>
      <c r="K935" s="88"/>
      <c r="L935" s="88"/>
      <c r="M935" s="88"/>
      <c r="N935" s="88"/>
      <c r="O935" s="88"/>
      <c r="P935" s="88"/>
      <c r="Q935" s="62"/>
      <c r="R935" s="62"/>
      <c r="S935" s="63"/>
    </row>
    <row r="936">
      <c r="C936" s="67"/>
      <c r="D936" s="61"/>
      <c r="E936" s="62"/>
      <c r="F936" s="87"/>
      <c r="G936" s="64"/>
      <c r="H936" s="88"/>
      <c r="I936" s="88"/>
      <c r="J936" s="88"/>
      <c r="K936" s="88"/>
      <c r="L936" s="88"/>
      <c r="M936" s="88"/>
      <c r="N936" s="88"/>
      <c r="O936" s="88"/>
      <c r="P936" s="88"/>
      <c r="Q936" s="62"/>
      <c r="R936" s="62"/>
      <c r="S936" s="63"/>
    </row>
    <row r="937">
      <c r="C937" s="67"/>
      <c r="D937" s="61"/>
      <c r="E937" s="62"/>
      <c r="F937" s="87"/>
      <c r="G937" s="64"/>
      <c r="H937" s="88"/>
      <c r="I937" s="88"/>
      <c r="J937" s="88"/>
      <c r="K937" s="88"/>
      <c r="L937" s="88"/>
      <c r="M937" s="88"/>
      <c r="N937" s="88"/>
      <c r="O937" s="88"/>
      <c r="P937" s="88"/>
      <c r="Q937" s="62"/>
      <c r="R937" s="62"/>
      <c r="S937" s="63"/>
    </row>
    <row r="938">
      <c r="C938" s="67"/>
      <c r="D938" s="61"/>
      <c r="E938" s="62"/>
      <c r="F938" s="87"/>
      <c r="G938" s="64"/>
      <c r="H938" s="88"/>
      <c r="I938" s="88"/>
      <c r="J938" s="88"/>
      <c r="K938" s="88"/>
      <c r="L938" s="88"/>
      <c r="M938" s="88"/>
      <c r="N938" s="88"/>
      <c r="O938" s="88"/>
      <c r="P938" s="88"/>
      <c r="Q938" s="62"/>
      <c r="R938" s="62"/>
      <c r="S938" s="63"/>
    </row>
    <row r="939">
      <c r="C939" s="67"/>
      <c r="D939" s="61"/>
      <c r="E939" s="62"/>
      <c r="F939" s="87"/>
      <c r="G939" s="64"/>
      <c r="H939" s="88"/>
      <c r="I939" s="88"/>
      <c r="J939" s="88"/>
      <c r="K939" s="88"/>
      <c r="L939" s="88"/>
      <c r="M939" s="88"/>
      <c r="N939" s="88"/>
      <c r="O939" s="88"/>
      <c r="P939" s="88"/>
      <c r="Q939" s="62"/>
      <c r="R939" s="62"/>
      <c r="S939" s="63"/>
    </row>
    <row r="940">
      <c r="C940" s="67"/>
      <c r="D940" s="61"/>
      <c r="E940" s="62"/>
      <c r="F940" s="87"/>
      <c r="G940" s="64"/>
      <c r="H940" s="88"/>
      <c r="I940" s="88"/>
      <c r="J940" s="88"/>
      <c r="K940" s="88"/>
      <c r="L940" s="88"/>
      <c r="M940" s="88"/>
      <c r="N940" s="88"/>
      <c r="O940" s="88"/>
      <c r="P940" s="88"/>
      <c r="Q940" s="62"/>
      <c r="R940" s="62"/>
      <c r="S940" s="63"/>
    </row>
    <row r="941">
      <c r="C941" s="67"/>
      <c r="D941" s="61"/>
      <c r="E941" s="62"/>
      <c r="F941" s="87"/>
      <c r="G941" s="64"/>
      <c r="H941" s="88"/>
      <c r="I941" s="88"/>
      <c r="J941" s="88"/>
      <c r="K941" s="88"/>
      <c r="L941" s="88"/>
      <c r="M941" s="88"/>
      <c r="N941" s="88"/>
      <c r="O941" s="88"/>
      <c r="P941" s="88"/>
      <c r="Q941" s="62"/>
      <c r="R941" s="62"/>
      <c r="S941" s="63"/>
    </row>
    <row r="942">
      <c r="C942" s="67"/>
      <c r="D942" s="61"/>
      <c r="E942" s="62"/>
      <c r="F942" s="87"/>
      <c r="G942" s="64"/>
      <c r="H942" s="88"/>
      <c r="I942" s="88"/>
      <c r="J942" s="88"/>
      <c r="K942" s="88"/>
      <c r="L942" s="88"/>
      <c r="M942" s="88"/>
      <c r="N942" s="88"/>
      <c r="O942" s="88"/>
      <c r="P942" s="88"/>
      <c r="Q942" s="62"/>
      <c r="R942" s="62"/>
      <c r="S942" s="63"/>
    </row>
    <row r="943">
      <c r="C943" s="67"/>
      <c r="D943" s="61"/>
      <c r="E943" s="62"/>
      <c r="F943" s="87"/>
      <c r="G943" s="64"/>
      <c r="H943" s="88"/>
      <c r="I943" s="88"/>
      <c r="J943" s="88"/>
      <c r="K943" s="88"/>
      <c r="L943" s="88"/>
      <c r="M943" s="88"/>
      <c r="N943" s="88"/>
      <c r="O943" s="88"/>
      <c r="P943" s="88"/>
      <c r="Q943" s="62"/>
      <c r="R943" s="62"/>
      <c r="S943" s="63"/>
    </row>
    <row r="944">
      <c r="C944" s="67"/>
      <c r="D944" s="61"/>
      <c r="E944" s="62"/>
      <c r="F944" s="87"/>
      <c r="G944" s="64"/>
      <c r="H944" s="88"/>
      <c r="I944" s="88"/>
      <c r="J944" s="88"/>
      <c r="K944" s="88"/>
      <c r="L944" s="88"/>
      <c r="M944" s="88"/>
      <c r="N944" s="88"/>
      <c r="O944" s="88"/>
      <c r="P944" s="88"/>
      <c r="Q944" s="62"/>
      <c r="R944" s="62"/>
      <c r="S944" s="63"/>
    </row>
    <row r="945">
      <c r="C945" s="67"/>
      <c r="D945" s="61"/>
      <c r="E945" s="62"/>
      <c r="F945" s="87"/>
      <c r="G945" s="64"/>
      <c r="H945" s="88"/>
      <c r="I945" s="88"/>
      <c r="J945" s="88"/>
      <c r="K945" s="88"/>
      <c r="L945" s="88"/>
      <c r="M945" s="88"/>
      <c r="N945" s="88"/>
      <c r="O945" s="88"/>
      <c r="P945" s="88"/>
      <c r="Q945" s="62"/>
      <c r="R945" s="62"/>
      <c r="S945" s="63"/>
    </row>
    <row r="946">
      <c r="C946" s="67"/>
      <c r="D946" s="61"/>
      <c r="E946" s="62"/>
      <c r="F946" s="87"/>
      <c r="G946" s="64"/>
      <c r="H946" s="88"/>
      <c r="I946" s="88"/>
      <c r="J946" s="88"/>
      <c r="K946" s="88"/>
      <c r="L946" s="88"/>
      <c r="M946" s="88"/>
      <c r="N946" s="88"/>
      <c r="O946" s="88"/>
      <c r="P946" s="88"/>
      <c r="Q946" s="62"/>
      <c r="R946" s="62"/>
      <c r="S946" s="63"/>
    </row>
    <row r="947">
      <c r="C947" s="67"/>
      <c r="D947" s="61"/>
      <c r="E947" s="62"/>
      <c r="F947" s="87"/>
      <c r="G947" s="64"/>
      <c r="H947" s="88"/>
      <c r="I947" s="88"/>
      <c r="J947" s="88"/>
      <c r="K947" s="88"/>
      <c r="L947" s="88"/>
      <c r="M947" s="88"/>
      <c r="N947" s="88"/>
      <c r="O947" s="88"/>
      <c r="P947" s="88"/>
      <c r="Q947" s="62"/>
      <c r="R947" s="62"/>
      <c r="S947" s="63"/>
    </row>
    <row r="948">
      <c r="C948" s="67"/>
      <c r="D948" s="61"/>
      <c r="E948" s="62"/>
      <c r="F948" s="87"/>
      <c r="G948" s="64"/>
      <c r="H948" s="88"/>
      <c r="I948" s="88"/>
      <c r="J948" s="88"/>
      <c r="K948" s="88"/>
      <c r="L948" s="88"/>
      <c r="M948" s="88"/>
      <c r="N948" s="88"/>
      <c r="O948" s="88"/>
      <c r="P948" s="88"/>
      <c r="Q948" s="62"/>
      <c r="R948" s="62"/>
      <c r="S948" s="63"/>
    </row>
    <row r="949">
      <c r="C949" s="67"/>
      <c r="D949" s="61"/>
      <c r="E949" s="62"/>
      <c r="F949" s="87"/>
      <c r="G949" s="64"/>
      <c r="H949" s="88"/>
      <c r="I949" s="88"/>
      <c r="J949" s="88"/>
      <c r="K949" s="88"/>
      <c r="L949" s="88"/>
      <c r="M949" s="88"/>
      <c r="N949" s="88"/>
      <c r="O949" s="88"/>
      <c r="P949" s="88"/>
      <c r="Q949" s="62"/>
      <c r="R949" s="62"/>
      <c r="S949" s="63"/>
    </row>
    <row r="950">
      <c r="C950" s="67"/>
      <c r="D950" s="61"/>
      <c r="E950" s="62"/>
      <c r="F950" s="87"/>
      <c r="G950" s="64"/>
      <c r="H950" s="88"/>
      <c r="I950" s="88"/>
      <c r="J950" s="88"/>
      <c r="K950" s="88"/>
      <c r="L950" s="88"/>
      <c r="M950" s="88"/>
      <c r="N950" s="88"/>
      <c r="O950" s="88"/>
      <c r="P950" s="88"/>
      <c r="Q950" s="62"/>
      <c r="R950" s="62"/>
      <c r="S950" s="63"/>
    </row>
    <row r="951">
      <c r="C951" s="67"/>
      <c r="D951" s="61"/>
      <c r="E951" s="62"/>
      <c r="F951" s="87"/>
      <c r="G951" s="64"/>
      <c r="H951" s="88"/>
      <c r="I951" s="88"/>
      <c r="J951" s="88"/>
      <c r="K951" s="88"/>
      <c r="L951" s="88"/>
      <c r="M951" s="88"/>
      <c r="N951" s="88"/>
      <c r="O951" s="88"/>
      <c r="P951" s="88"/>
      <c r="Q951" s="62"/>
      <c r="R951" s="62"/>
      <c r="S951" s="63"/>
    </row>
    <row r="952">
      <c r="C952" s="67"/>
      <c r="D952" s="61"/>
      <c r="E952" s="62"/>
      <c r="F952" s="87"/>
      <c r="G952" s="64"/>
      <c r="H952" s="88"/>
      <c r="I952" s="88"/>
      <c r="J952" s="88"/>
      <c r="K952" s="88"/>
      <c r="L952" s="88"/>
      <c r="M952" s="88"/>
      <c r="N952" s="88"/>
      <c r="O952" s="88"/>
      <c r="P952" s="88"/>
      <c r="Q952" s="62"/>
      <c r="R952" s="62"/>
      <c r="S952" s="63"/>
    </row>
    <row r="953">
      <c r="C953" s="67"/>
      <c r="D953" s="61"/>
      <c r="E953" s="62"/>
      <c r="F953" s="87"/>
      <c r="G953" s="64"/>
      <c r="H953" s="88"/>
      <c r="I953" s="88"/>
      <c r="J953" s="88"/>
      <c r="K953" s="88"/>
      <c r="L953" s="88"/>
      <c r="M953" s="88"/>
      <c r="N953" s="88"/>
      <c r="O953" s="88"/>
      <c r="P953" s="88"/>
      <c r="Q953" s="62"/>
      <c r="R953" s="62"/>
      <c r="S953" s="63"/>
    </row>
    <row r="954">
      <c r="C954" s="67"/>
      <c r="D954" s="61"/>
      <c r="E954" s="62"/>
      <c r="F954" s="87"/>
      <c r="G954" s="64"/>
      <c r="H954" s="88"/>
      <c r="I954" s="88"/>
      <c r="J954" s="88"/>
      <c r="K954" s="88"/>
      <c r="L954" s="88"/>
      <c r="M954" s="88"/>
      <c r="N954" s="88"/>
      <c r="O954" s="88"/>
      <c r="P954" s="88"/>
      <c r="Q954" s="62"/>
      <c r="R954" s="62"/>
      <c r="S954" s="63"/>
    </row>
    <row r="955">
      <c r="C955" s="67"/>
      <c r="D955" s="61"/>
      <c r="E955" s="62"/>
      <c r="F955" s="87"/>
      <c r="G955" s="64"/>
      <c r="H955" s="88"/>
      <c r="I955" s="88"/>
      <c r="J955" s="88"/>
      <c r="K955" s="88"/>
      <c r="L955" s="88"/>
      <c r="M955" s="88"/>
      <c r="N955" s="88"/>
      <c r="O955" s="88"/>
      <c r="P955" s="88"/>
      <c r="Q955" s="62"/>
      <c r="R955" s="62"/>
      <c r="S955" s="63"/>
    </row>
    <row r="956">
      <c r="C956" s="67"/>
      <c r="D956" s="61"/>
      <c r="E956" s="62"/>
      <c r="F956" s="87"/>
      <c r="G956" s="64"/>
      <c r="H956" s="88"/>
      <c r="I956" s="88"/>
      <c r="J956" s="88"/>
      <c r="K956" s="88"/>
      <c r="L956" s="88"/>
      <c r="M956" s="88"/>
      <c r="N956" s="88"/>
      <c r="O956" s="88"/>
      <c r="P956" s="88"/>
      <c r="Q956" s="62"/>
      <c r="R956" s="62"/>
      <c r="S956" s="63"/>
    </row>
    <row r="957">
      <c r="C957" s="67"/>
      <c r="D957" s="61"/>
      <c r="E957" s="62"/>
      <c r="F957" s="87"/>
      <c r="G957" s="64"/>
      <c r="H957" s="88"/>
      <c r="I957" s="88"/>
      <c r="J957" s="88"/>
      <c r="K957" s="88"/>
      <c r="L957" s="88"/>
      <c r="M957" s="88"/>
      <c r="N957" s="88"/>
      <c r="O957" s="88"/>
      <c r="P957" s="88"/>
      <c r="Q957" s="62"/>
      <c r="R957" s="62"/>
      <c r="S957" s="63"/>
    </row>
    <row r="958">
      <c r="C958" s="67"/>
      <c r="D958" s="61"/>
      <c r="E958" s="62"/>
      <c r="F958" s="87"/>
      <c r="G958" s="64"/>
      <c r="H958" s="88"/>
      <c r="I958" s="88"/>
      <c r="J958" s="88"/>
      <c r="K958" s="88"/>
      <c r="L958" s="88"/>
      <c r="M958" s="88"/>
      <c r="N958" s="88"/>
      <c r="O958" s="88"/>
      <c r="P958" s="88"/>
      <c r="Q958" s="62"/>
      <c r="R958" s="62"/>
      <c r="S958" s="63"/>
    </row>
    <row r="959">
      <c r="C959" s="67"/>
      <c r="D959" s="61"/>
      <c r="E959" s="62"/>
      <c r="F959" s="87"/>
      <c r="G959" s="64"/>
      <c r="H959" s="88"/>
      <c r="I959" s="88"/>
      <c r="J959" s="88"/>
      <c r="K959" s="88"/>
      <c r="L959" s="88"/>
      <c r="M959" s="88"/>
      <c r="N959" s="88"/>
      <c r="O959" s="88"/>
      <c r="P959" s="88"/>
      <c r="Q959" s="62"/>
      <c r="R959" s="62"/>
      <c r="S959" s="63"/>
    </row>
    <row r="960">
      <c r="C960" s="67"/>
      <c r="D960" s="61"/>
      <c r="E960" s="62"/>
      <c r="F960" s="87"/>
      <c r="G960" s="64"/>
      <c r="H960" s="88"/>
      <c r="I960" s="88"/>
      <c r="J960" s="88"/>
      <c r="K960" s="88"/>
      <c r="L960" s="88"/>
      <c r="M960" s="88"/>
      <c r="N960" s="88"/>
      <c r="O960" s="88"/>
      <c r="P960" s="88"/>
      <c r="Q960" s="62"/>
      <c r="R960" s="62"/>
      <c r="S960" s="63"/>
    </row>
    <row r="961">
      <c r="C961" s="67"/>
      <c r="D961" s="61"/>
      <c r="E961" s="62"/>
      <c r="F961" s="87"/>
      <c r="G961" s="64"/>
      <c r="H961" s="88"/>
      <c r="I961" s="88"/>
      <c r="J961" s="88"/>
      <c r="K961" s="88"/>
      <c r="L961" s="88"/>
      <c r="M961" s="88"/>
      <c r="N961" s="88"/>
      <c r="O961" s="88"/>
      <c r="P961" s="88"/>
      <c r="Q961" s="62"/>
      <c r="R961" s="62"/>
      <c r="S961" s="63"/>
    </row>
    <row r="962">
      <c r="C962" s="67"/>
      <c r="D962" s="61"/>
      <c r="E962" s="62"/>
      <c r="F962" s="87"/>
      <c r="G962" s="64"/>
      <c r="H962" s="88"/>
      <c r="I962" s="88"/>
      <c r="J962" s="88"/>
      <c r="K962" s="88"/>
      <c r="L962" s="88"/>
      <c r="M962" s="88"/>
      <c r="N962" s="88"/>
      <c r="O962" s="88"/>
      <c r="P962" s="88"/>
      <c r="Q962" s="62"/>
      <c r="R962" s="62"/>
      <c r="S962" s="63"/>
    </row>
    <row r="963">
      <c r="C963" s="67"/>
      <c r="D963" s="61"/>
      <c r="E963" s="62"/>
      <c r="F963" s="87"/>
      <c r="G963" s="64"/>
      <c r="H963" s="88"/>
      <c r="I963" s="88"/>
      <c r="J963" s="88"/>
      <c r="K963" s="88"/>
      <c r="L963" s="88"/>
      <c r="M963" s="88"/>
      <c r="N963" s="88"/>
      <c r="O963" s="88"/>
      <c r="P963" s="88"/>
      <c r="Q963" s="62"/>
      <c r="R963" s="62"/>
      <c r="S963" s="63"/>
    </row>
    <row r="964">
      <c r="C964" s="67"/>
      <c r="D964" s="61"/>
      <c r="E964" s="62"/>
      <c r="F964" s="87"/>
      <c r="G964" s="64"/>
      <c r="H964" s="88"/>
      <c r="I964" s="88"/>
      <c r="J964" s="88"/>
      <c r="K964" s="88"/>
      <c r="L964" s="88"/>
      <c r="M964" s="88"/>
      <c r="N964" s="88"/>
      <c r="O964" s="88"/>
      <c r="P964" s="88"/>
      <c r="Q964" s="62"/>
      <c r="R964" s="62"/>
      <c r="S964" s="63"/>
    </row>
    <row r="965">
      <c r="C965" s="67"/>
      <c r="D965" s="61"/>
      <c r="E965" s="62"/>
      <c r="F965" s="87"/>
      <c r="G965" s="64"/>
      <c r="H965" s="88"/>
      <c r="I965" s="88"/>
      <c r="J965" s="88"/>
      <c r="K965" s="88"/>
      <c r="L965" s="88"/>
      <c r="M965" s="88"/>
      <c r="N965" s="88"/>
      <c r="O965" s="88"/>
      <c r="P965" s="88"/>
      <c r="Q965" s="62"/>
      <c r="R965" s="62"/>
      <c r="S965" s="63"/>
    </row>
    <row r="966">
      <c r="C966" s="67"/>
      <c r="D966" s="61"/>
      <c r="E966" s="62"/>
      <c r="F966" s="87"/>
      <c r="G966" s="64"/>
      <c r="H966" s="88"/>
      <c r="I966" s="88"/>
      <c r="J966" s="88"/>
      <c r="K966" s="88"/>
      <c r="L966" s="88"/>
      <c r="M966" s="88"/>
      <c r="N966" s="88"/>
      <c r="O966" s="88"/>
      <c r="P966" s="88"/>
      <c r="Q966" s="62"/>
      <c r="R966" s="62"/>
      <c r="S966" s="63"/>
    </row>
    <row r="967">
      <c r="C967" s="67"/>
      <c r="D967" s="61"/>
      <c r="E967" s="62"/>
      <c r="F967" s="87"/>
      <c r="G967" s="64"/>
      <c r="H967" s="88"/>
      <c r="I967" s="88"/>
      <c r="J967" s="88"/>
      <c r="K967" s="88"/>
      <c r="L967" s="88"/>
      <c r="M967" s="88"/>
      <c r="N967" s="88"/>
      <c r="O967" s="88"/>
      <c r="P967" s="88"/>
      <c r="Q967" s="62"/>
      <c r="R967" s="62"/>
      <c r="S967" s="63"/>
    </row>
    <row r="968">
      <c r="C968" s="67"/>
      <c r="D968" s="61"/>
      <c r="E968" s="62"/>
      <c r="F968" s="87"/>
      <c r="G968" s="64"/>
      <c r="H968" s="88"/>
      <c r="I968" s="88"/>
      <c r="J968" s="88"/>
      <c r="K968" s="88"/>
      <c r="L968" s="88"/>
      <c r="M968" s="88"/>
      <c r="N968" s="88"/>
      <c r="O968" s="88"/>
      <c r="P968" s="88"/>
      <c r="Q968" s="62"/>
      <c r="R968" s="62"/>
      <c r="S968" s="63"/>
    </row>
    <row r="969">
      <c r="C969" s="67"/>
      <c r="D969" s="61"/>
      <c r="E969" s="62"/>
      <c r="F969" s="87"/>
      <c r="G969" s="64"/>
      <c r="H969" s="88"/>
      <c r="I969" s="88"/>
      <c r="J969" s="88"/>
      <c r="K969" s="88"/>
      <c r="L969" s="88"/>
      <c r="M969" s="88"/>
      <c r="N969" s="88"/>
      <c r="O969" s="88"/>
      <c r="P969" s="88"/>
      <c r="Q969" s="62"/>
      <c r="R969" s="62"/>
      <c r="S969" s="63"/>
    </row>
    <row r="970">
      <c r="C970" s="67"/>
      <c r="D970" s="61"/>
      <c r="E970" s="62"/>
      <c r="F970" s="87"/>
      <c r="G970" s="64"/>
      <c r="H970" s="88"/>
      <c r="I970" s="88"/>
      <c r="J970" s="88"/>
      <c r="K970" s="88"/>
      <c r="L970" s="88"/>
      <c r="M970" s="88"/>
      <c r="N970" s="88"/>
      <c r="O970" s="88"/>
      <c r="P970" s="88"/>
      <c r="Q970" s="62"/>
      <c r="R970" s="62"/>
      <c r="S970" s="63"/>
    </row>
    <row r="971">
      <c r="C971" s="67"/>
      <c r="D971" s="61"/>
      <c r="E971" s="62"/>
      <c r="F971" s="87"/>
      <c r="G971" s="64"/>
      <c r="H971" s="88"/>
      <c r="I971" s="88"/>
      <c r="J971" s="88"/>
      <c r="K971" s="88"/>
      <c r="L971" s="88"/>
      <c r="M971" s="88"/>
      <c r="N971" s="88"/>
      <c r="O971" s="88"/>
      <c r="P971" s="88"/>
      <c r="Q971" s="62"/>
      <c r="R971" s="62"/>
      <c r="S971" s="63"/>
    </row>
    <row r="972">
      <c r="C972" s="67"/>
      <c r="D972" s="61"/>
      <c r="E972" s="62"/>
      <c r="F972" s="87"/>
      <c r="G972" s="64"/>
      <c r="H972" s="88"/>
      <c r="I972" s="88"/>
      <c r="J972" s="88"/>
      <c r="K972" s="88"/>
      <c r="L972" s="88"/>
      <c r="M972" s="88"/>
      <c r="N972" s="88"/>
      <c r="O972" s="88"/>
      <c r="P972" s="88"/>
      <c r="Q972" s="62"/>
      <c r="R972" s="62"/>
      <c r="S972" s="63"/>
    </row>
    <row r="973">
      <c r="C973" s="67"/>
      <c r="D973" s="61"/>
      <c r="E973" s="62"/>
      <c r="F973" s="87"/>
      <c r="G973" s="64"/>
      <c r="H973" s="88"/>
      <c r="I973" s="88"/>
      <c r="J973" s="88"/>
      <c r="K973" s="88"/>
      <c r="L973" s="88"/>
      <c r="M973" s="88"/>
      <c r="N973" s="88"/>
      <c r="O973" s="88"/>
      <c r="P973" s="88"/>
      <c r="Q973" s="62"/>
      <c r="R973" s="62"/>
      <c r="S973" s="63"/>
    </row>
    <row r="974">
      <c r="C974" s="67"/>
      <c r="D974" s="61"/>
      <c r="E974" s="62"/>
      <c r="F974" s="87"/>
      <c r="G974" s="64"/>
      <c r="H974" s="88"/>
      <c r="I974" s="88"/>
      <c r="J974" s="88"/>
      <c r="K974" s="88"/>
      <c r="L974" s="88"/>
      <c r="M974" s="88"/>
      <c r="N974" s="88"/>
      <c r="O974" s="88"/>
      <c r="P974" s="88"/>
      <c r="Q974" s="62"/>
      <c r="R974" s="62"/>
      <c r="S974" s="63"/>
    </row>
    <row r="975">
      <c r="C975" s="67"/>
      <c r="D975" s="61"/>
      <c r="E975" s="62"/>
      <c r="F975" s="87"/>
      <c r="G975" s="64"/>
      <c r="H975" s="88"/>
      <c r="I975" s="88"/>
      <c r="J975" s="88"/>
      <c r="K975" s="88"/>
      <c r="L975" s="88"/>
      <c r="M975" s="88"/>
      <c r="N975" s="88"/>
      <c r="O975" s="88"/>
      <c r="P975" s="88"/>
      <c r="Q975" s="62"/>
      <c r="R975" s="62"/>
      <c r="S975" s="63"/>
    </row>
    <row r="976">
      <c r="C976" s="67"/>
      <c r="D976" s="61"/>
      <c r="E976" s="62"/>
      <c r="F976" s="87"/>
      <c r="G976" s="64"/>
      <c r="H976" s="88"/>
      <c r="I976" s="88"/>
      <c r="J976" s="88"/>
      <c r="K976" s="88"/>
      <c r="L976" s="88"/>
      <c r="M976" s="88"/>
      <c r="N976" s="88"/>
      <c r="O976" s="88"/>
      <c r="P976" s="88"/>
      <c r="Q976" s="62"/>
      <c r="R976" s="62"/>
      <c r="S976" s="63"/>
    </row>
    <row r="977">
      <c r="C977" s="67"/>
      <c r="D977" s="61"/>
      <c r="E977" s="62"/>
      <c r="F977" s="87"/>
      <c r="G977" s="64"/>
      <c r="H977" s="88"/>
      <c r="I977" s="88"/>
      <c r="J977" s="88"/>
      <c r="K977" s="88"/>
      <c r="L977" s="88"/>
      <c r="M977" s="88"/>
      <c r="N977" s="88"/>
      <c r="O977" s="88"/>
      <c r="P977" s="88"/>
      <c r="Q977" s="62"/>
      <c r="R977" s="62"/>
      <c r="S977" s="63"/>
    </row>
    <row r="978">
      <c r="C978" s="67"/>
      <c r="D978" s="61"/>
      <c r="E978" s="62"/>
      <c r="F978" s="87"/>
      <c r="G978" s="64"/>
      <c r="H978" s="88"/>
      <c r="I978" s="88"/>
      <c r="J978" s="88"/>
      <c r="K978" s="88"/>
      <c r="L978" s="88"/>
      <c r="M978" s="88"/>
      <c r="N978" s="88"/>
      <c r="O978" s="88"/>
      <c r="P978" s="88"/>
      <c r="Q978" s="62"/>
      <c r="R978" s="62"/>
      <c r="S978" s="63"/>
    </row>
    <row r="979">
      <c r="C979" s="67"/>
      <c r="D979" s="61"/>
      <c r="E979" s="62"/>
      <c r="F979" s="87"/>
      <c r="G979" s="64"/>
      <c r="H979" s="88"/>
      <c r="I979" s="88"/>
      <c r="J979" s="88"/>
      <c r="K979" s="88"/>
      <c r="L979" s="88"/>
      <c r="M979" s="88"/>
      <c r="N979" s="88"/>
      <c r="O979" s="88"/>
      <c r="P979" s="88"/>
      <c r="Q979" s="62"/>
      <c r="R979" s="62"/>
      <c r="S979" s="63"/>
    </row>
    <row r="980">
      <c r="C980" s="67"/>
      <c r="D980" s="61"/>
      <c r="E980" s="62"/>
      <c r="F980" s="87"/>
      <c r="G980" s="64"/>
      <c r="H980" s="88"/>
      <c r="I980" s="88"/>
      <c r="J980" s="88"/>
      <c r="K980" s="88"/>
      <c r="L980" s="88"/>
      <c r="M980" s="88"/>
      <c r="N980" s="88"/>
      <c r="O980" s="88"/>
      <c r="P980" s="88"/>
      <c r="Q980" s="62"/>
      <c r="R980" s="62"/>
      <c r="S980" s="63"/>
    </row>
    <row r="981">
      <c r="C981" s="67"/>
      <c r="D981" s="61"/>
      <c r="E981" s="62"/>
      <c r="F981" s="87"/>
      <c r="G981" s="64"/>
      <c r="H981" s="88"/>
      <c r="I981" s="88"/>
      <c r="J981" s="88"/>
      <c r="K981" s="88"/>
      <c r="L981" s="88"/>
      <c r="M981" s="88"/>
      <c r="N981" s="88"/>
      <c r="O981" s="88"/>
      <c r="P981" s="88"/>
      <c r="Q981" s="62"/>
      <c r="R981" s="62"/>
      <c r="S981" s="63"/>
    </row>
    <row r="982">
      <c r="C982" s="67"/>
      <c r="D982" s="61"/>
      <c r="E982" s="62"/>
      <c r="F982" s="87"/>
      <c r="G982" s="64"/>
      <c r="H982" s="88"/>
      <c r="I982" s="88"/>
      <c r="J982" s="88"/>
      <c r="K982" s="88"/>
      <c r="L982" s="88"/>
      <c r="M982" s="88"/>
      <c r="N982" s="88"/>
      <c r="O982" s="88"/>
      <c r="P982" s="88"/>
      <c r="Q982" s="62"/>
      <c r="R982" s="62"/>
      <c r="S982" s="63"/>
    </row>
    <row r="983">
      <c r="C983" s="67"/>
      <c r="D983" s="61"/>
      <c r="E983" s="62"/>
      <c r="F983" s="87"/>
      <c r="G983" s="64"/>
      <c r="H983" s="88"/>
      <c r="I983" s="88"/>
      <c r="J983" s="88"/>
      <c r="K983" s="88"/>
      <c r="L983" s="88"/>
      <c r="M983" s="88"/>
      <c r="N983" s="88"/>
      <c r="O983" s="88"/>
      <c r="P983" s="88"/>
      <c r="Q983" s="62"/>
      <c r="R983" s="62"/>
      <c r="S983" s="63"/>
    </row>
    <row r="984">
      <c r="C984" s="67"/>
      <c r="D984" s="61"/>
      <c r="E984" s="62"/>
      <c r="F984" s="87"/>
      <c r="G984" s="64"/>
      <c r="H984" s="88"/>
      <c r="I984" s="88"/>
      <c r="J984" s="88"/>
      <c r="K984" s="88"/>
      <c r="L984" s="88"/>
      <c r="M984" s="88"/>
      <c r="N984" s="88"/>
      <c r="O984" s="88"/>
      <c r="P984" s="88"/>
      <c r="Q984" s="62"/>
      <c r="R984" s="62"/>
      <c r="S984" s="63"/>
    </row>
    <row r="985">
      <c r="C985" s="67"/>
      <c r="D985" s="61"/>
      <c r="E985" s="62"/>
      <c r="F985" s="87"/>
      <c r="G985" s="64"/>
      <c r="H985" s="88"/>
      <c r="I985" s="88"/>
      <c r="J985" s="88"/>
      <c r="K985" s="88"/>
      <c r="L985" s="88"/>
      <c r="M985" s="88"/>
      <c r="N985" s="88"/>
      <c r="O985" s="88"/>
      <c r="P985" s="88"/>
      <c r="Q985" s="62"/>
      <c r="R985" s="62"/>
      <c r="S985" s="63"/>
    </row>
    <row r="986">
      <c r="C986" s="67"/>
      <c r="D986" s="61"/>
      <c r="E986" s="62"/>
      <c r="F986" s="87"/>
      <c r="G986" s="64"/>
      <c r="H986" s="88"/>
      <c r="I986" s="88"/>
      <c r="J986" s="88"/>
      <c r="K986" s="88"/>
      <c r="L986" s="88"/>
      <c r="M986" s="88"/>
      <c r="N986" s="88"/>
      <c r="O986" s="88"/>
      <c r="P986" s="88"/>
      <c r="Q986" s="62"/>
      <c r="R986" s="62"/>
      <c r="S986" s="63"/>
    </row>
    <row r="987">
      <c r="C987" s="67"/>
      <c r="D987" s="61"/>
      <c r="E987" s="62"/>
      <c r="F987" s="87"/>
      <c r="G987" s="64"/>
      <c r="H987" s="88"/>
      <c r="I987" s="88"/>
      <c r="J987" s="88"/>
      <c r="K987" s="88"/>
      <c r="L987" s="88"/>
      <c r="M987" s="88"/>
      <c r="N987" s="88"/>
      <c r="O987" s="88"/>
      <c r="P987" s="88"/>
      <c r="Q987" s="62"/>
      <c r="R987" s="62"/>
      <c r="S987" s="63"/>
    </row>
    <row r="988">
      <c r="C988" s="67"/>
      <c r="D988" s="61"/>
      <c r="E988" s="62"/>
      <c r="F988" s="87"/>
      <c r="G988" s="64"/>
      <c r="H988" s="88"/>
      <c r="I988" s="88"/>
      <c r="J988" s="88"/>
      <c r="K988" s="88"/>
      <c r="L988" s="88"/>
      <c r="M988" s="88"/>
      <c r="N988" s="88"/>
      <c r="O988" s="88"/>
      <c r="P988" s="88"/>
      <c r="Q988" s="62"/>
      <c r="R988" s="62"/>
      <c r="S988" s="63"/>
    </row>
    <row r="989">
      <c r="C989" s="67"/>
      <c r="D989" s="61"/>
      <c r="E989" s="62"/>
      <c r="F989" s="87"/>
      <c r="G989" s="64"/>
      <c r="H989" s="88"/>
      <c r="I989" s="88"/>
      <c r="J989" s="88"/>
      <c r="K989" s="88"/>
      <c r="L989" s="88"/>
      <c r="M989" s="88"/>
      <c r="N989" s="88"/>
      <c r="O989" s="88"/>
      <c r="P989" s="88"/>
      <c r="Q989" s="62"/>
      <c r="R989" s="62"/>
      <c r="S989" s="63"/>
    </row>
    <row r="990">
      <c r="C990" s="67"/>
      <c r="D990" s="61"/>
      <c r="E990" s="62"/>
      <c r="F990" s="87"/>
      <c r="G990" s="64"/>
      <c r="H990" s="88"/>
      <c r="I990" s="88"/>
      <c r="J990" s="88"/>
      <c r="K990" s="88"/>
      <c r="L990" s="88"/>
      <c r="M990" s="88"/>
      <c r="N990" s="88"/>
      <c r="O990" s="88"/>
      <c r="P990" s="88"/>
      <c r="Q990" s="62"/>
      <c r="R990" s="62"/>
      <c r="S990" s="63"/>
    </row>
    <row r="991">
      <c r="C991" s="67"/>
      <c r="D991" s="61"/>
      <c r="E991" s="62"/>
      <c r="F991" s="87"/>
      <c r="G991" s="64"/>
      <c r="H991" s="88"/>
      <c r="I991" s="88"/>
      <c r="J991" s="88"/>
      <c r="K991" s="88"/>
      <c r="L991" s="88"/>
      <c r="M991" s="88"/>
      <c r="N991" s="88"/>
      <c r="O991" s="88"/>
      <c r="P991" s="88"/>
      <c r="Q991" s="62"/>
      <c r="R991" s="62"/>
      <c r="S991" s="63"/>
    </row>
    <row r="992">
      <c r="C992" s="67"/>
      <c r="D992" s="61"/>
      <c r="E992" s="62"/>
      <c r="F992" s="87"/>
      <c r="G992" s="64"/>
      <c r="H992" s="88"/>
      <c r="I992" s="88"/>
      <c r="J992" s="88"/>
      <c r="K992" s="88"/>
      <c r="L992" s="88"/>
      <c r="M992" s="88"/>
      <c r="N992" s="88"/>
      <c r="O992" s="88"/>
      <c r="P992" s="88"/>
      <c r="Q992" s="62"/>
      <c r="R992" s="62"/>
      <c r="S992" s="63"/>
    </row>
    <row r="993">
      <c r="C993" s="67"/>
      <c r="D993" s="61"/>
      <c r="E993" s="62"/>
      <c r="F993" s="87"/>
      <c r="G993" s="64"/>
      <c r="H993" s="88"/>
      <c r="I993" s="88"/>
      <c r="J993" s="88"/>
      <c r="K993" s="88"/>
      <c r="L993" s="88"/>
      <c r="M993" s="88"/>
      <c r="N993" s="88"/>
      <c r="O993" s="88"/>
      <c r="P993" s="88"/>
      <c r="Q993" s="62"/>
      <c r="R993" s="62"/>
      <c r="S993" s="63"/>
    </row>
    <row r="994">
      <c r="C994" s="67"/>
      <c r="D994" s="61"/>
      <c r="E994" s="62"/>
      <c r="F994" s="87"/>
      <c r="G994" s="64"/>
      <c r="H994" s="88"/>
      <c r="I994" s="88"/>
      <c r="J994" s="88"/>
      <c r="K994" s="88"/>
      <c r="L994" s="88"/>
      <c r="M994" s="88"/>
      <c r="N994" s="88"/>
      <c r="O994" s="88"/>
      <c r="P994" s="88"/>
      <c r="Q994" s="62"/>
      <c r="R994" s="62"/>
      <c r="S994" s="63"/>
    </row>
    <row r="995">
      <c r="C995" s="67"/>
      <c r="D995" s="61"/>
      <c r="E995" s="62"/>
      <c r="F995" s="87"/>
      <c r="G995" s="64"/>
      <c r="H995" s="88"/>
      <c r="I995" s="88"/>
      <c r="J995" s="88"/>
      <c r="K995" s="88"/>
      <c r="L995" s="88"/>
      <c r="M995" s="88"/>
      <c r="N995" s="88"/>
      <c r="O995" s="88"/>
      <c r="P995" s="88"/>
      <c r="Q995" s="62"/>
      <c r="R995" s="62"/>
      <c r="S995" s="63"/>
    </row>
    <row r="996">
      <c r="C996" s="67"/>
      <c r="D996" s="61"/>
      <c r="E996" s="62"/>
      <c r="F996" s="87"/>
      <c r="G996" s="64"/>
      <c r="H996" s="88"/>
      <c r="I996" s="88"/>
      <c r="J996" s="88"/>
      <c r="K996" s="88"/>
      <c r="L996" s="88"/>
      <c r="M996" s="88"/>
      <c r="N996" s="88"/>
      <c r="O996" s="88"/>
      <c r="P996" s="88"/>
      <c r="Q996" s="62"/>
      <c r="R996" s="62"/>
      <c r="S996" s="63"/>
    </row>
    <row r="997">
      <c r="C997" s="67"/>
      <c r="D997" s="61"/>
      <c r="E997" s="62"/>
      <c r="F997" s="87"/>
      <c r="G997" s="64"/>
      <c r="H997" s="88"/>
      <c r="I997" s="88"/>
      <c r="J997" s="88"/>
      <c r="K997" s="88"/>
      <c r="L997" s="88"/>
      <c r="M997" s="88"/>
      <c r="N997" s="88"/>
      <c r="O997" s="88"/>
      <c r="P997" s="88"/>
      <c r="Q997" s="62"/>
      <c r="R997" s="62"/>
      <c r="S997" s="63"/>
    </row>
    <row r="998">
      <c r="C998" s="67"/>
      <c r="D998" s="61"/>
      <c r="E998" s="62"/>
      <c r="F998" s="87"/>
      <c r="G998" s="64"/>
      <c r="H998" s="88"/>
      <c r="I998" s="88"/>
      <c r="J998" s="88"/>
      <c r="K998" s="88"/>
      <c r="L998" s="88"/>
      <c r="M998" s="88"/>
      <c r="N998" s="88"/>
      <c r="O998" s="88"/>
      <c r="P998" s="88"/>
      <c r="Q998" s="62"/>
      <c r="R998" s="62"/>
      <c r="S998" s="63"/>
    </row>
    <row r="999">
      <c r="C999" s="67"/>
      <c r="D999" s="61"/>
      <c r="E999" s="62"/>
      <c r="F999" s="87"/>
      <c r="G999" s="64"/>
      <c r="H999" s="88"/>
      <c r="I999" s="88"/>
      <c r="J999" s="88"/>
      <c r="K999" s="88"/>
      <c r="L999" s="88"/>
      <c r="M999" s="88"/>
      <c r="N999" s="88"/>
      <c r="O999" s="88"/>
      <c r="P999" s="88"/>
      <c r="Q999" s="62"/>
      <c r="R999" s="62"/>
      <c r="S999" s="63"/>
    </row>
    <row r="1000">
      <c r="C1000" s="67"/>
      <c r="D1000" s="61"/>
      <c r="E1000" s="62"/>
      <c r="F1000" s="87"/>
      <c r="G1000" s="64"/>
      <c r="H1000" s="88"/>
      <c r="I1000" s="88"/>
      <c r="J1000" s="88"/>
      <c r="K1000" s="88"/>
      <c r="L1000" s="88"/>
      <c r="M1000" s="88"/>
      <c r="N1000" s="88"/>
      <c r="O1000" s="88"/>
      <c r="P1000" s="88"/>
      <c r="Q1000" s="62"/>
      <c r="R1000" s="62"/>
      <c r="S1000" s="63"/>
    </row>
    <row r="1001">
      <c r="C1001" s="67"/>
      <c r="D1001" s="61"/>
      <c r="E1001" s="62"/>
      <c r="F1001" s="87"/>
      <c r="G1001" s="64"/>
      <c r="H1001" s="88"/>
      <c r="I1001" s="88"/>
      <c r="J1001" s="88"/>
      <c r="K1001" s="88"/>
      <c r="L1001" s="88"/>
      <c r="M1001" s="88"/>
      <c r="N1001" s="88"/>
      <c r="O1001" s="88"/>
      <c r="P1001" s="88"/>
      <c r="Q1001" s="62"/>
      <c r="R1001" s="62"/>
      <c r="S1001" s="63"/>
    </row>
    <row r="1002">
      <c r="C1002" s="67"/>
      <c r="D1002" s="61"/>
      <c r="E1002" s="62"/>
      <c r="F1002" s="61"/>
      <c r="G1002" s="91"/>
      <c r="H1002" s="62"/>
      <c r="I1002" s="88"/>
      <c r="J1002" s="88"/>
      <c r="K1002" s="88"/>
      <c r="L1002" s="88"/>
      <c r="M1002" s="88"/>
      <c r="N1002" s="88"/>
      <c r="O1002" s="88"/>
      <c r="P1002" s="6"/>
      <c r="Q1002" s="62"/>
      <c r="R1002" s="91"/>
      <c r="S1002" s="91"/>
    </row>
    <row r="1003">
      <c r="C1003" s="67"/>
      <c r="D1003" s="61"/>
      <c r="E1003" s="62"/>
      <c r="F1003" s="61"/>
      <c r="G1003" s="91"/>
      <c r="H1003" s="62"/>
      <c r="I1003" s="88"/>
      <c r="J1003" s="88"/>
      <c r="K1003" s="88"/>
      <c r="L1003" s="88"/>
      <c r="M1003" s="88"/>
      <c r="N1003" s="88"/>
      <c r="O1003" s="88"/>
      <c r="P1003" s="6"/>
      <c r="Q1003" s="62"/>
      <c r="R1003" s="91"/>
      <c r="S1003" s="91"/>
    </row>
    <row r="1004">
      <c r="C1004" s="67"/>
      <c r="D1004" s="61"/>
      <c r="E1004" s="62"/>
      <c r="F1004" s="61"/>
      <c r="G1004" s="91"/>
      <c r="H1004" s="62"/>
      <c r="I1004" s="88"/>
      <c r="J1004" s="88"/>
      <c r="K1004" s="88"/>
      <c r="L1004" s="88"/>
      <c r="M1004" s="88"/>
      <c r="N1004" s="88"/>
      <c r="O1004" s="88"/>
      <c r="P1004" s="6"/>
      <c r="Q1004" s="62"/>
      <c r="R1004" s="91"/>
      <c r="S1004" s="91"/>
    </row>
    <row r="1005">
      <c r="C1005" s="67"/>
      <c r="D1005" s="61"/>
      <c r="E1005" s="62"/>
      <c r="F1005" s="61"/>
      <c r="G1005" s="91"/>
      <c r="H1005" s="62"/>
      <c r="I1005" s="88"/>
      <c r="J1005" s="88"/>
      <c r="K1005" s="88"/>
      <c r="L1005" s="88"/>
      <c r="M1005" s="88"/>
      <c r="N1005" s="88"/>
      <c r="O1005" s="88"/>
      <c r="P1005" s="6"/>
      <c r="Q1005" s="62"/>
      <c r="R1005" s="91"/>
      <c r="S1005" s="91"/>
    </row>
    <row r="1006">
      <c r="C1006" s="67"/>
      <c r="D1006" s="61"/>
      <c r="E1006" s="62"/>
      <c r="F1006" s="61"/>
      <c r="G1006" s="91"/>
      <c r="H1006" s="62"/>
      <c r="I1006" s="88"/>
      <c r="J1006" s="88"/>
      <c r="K1006" s="88"/>
      <c r="L1006" s="88"/>
      <c r="M1006" s="88"/>
      <c r="N1006" s="88"/>
      <c r="O1006" s="88"/>
      <c r="P1006" s="6"/>
      <c r="Q1006" s="62"/>
      <c r="R1006" s="91"/>
      <c r="S1006" s="91"/>
    </row>
    <row r="1007">
      <c r="C1007" s="67"/>
      <c r="D1007" s="61"/>
      <c r="E1007" s="62"/>
      <c r="F1007" s="61"/>
      <c r="G1007" s="91"/>
      <c r="H1007" s="62"/>
      <c r="I1007" s="88"/>
      <c r="J1007" s="88"/>
      <c r="K1007" s="88"/>
      <c r="L1007" s="88"/>
      <c r="M1007" s="88"/>
      <c r="N1007" s="88"/>
      <c r="O1007" s="88"/>
      <c r="P1007" s="6"/>
      <c r="Q1007" s="62"/>
      <c r="R1007" s="91"/>
      <c r="S1007" s="91"/>
    </row>
    <row r="1008">
      <c r="C1008" s="67"/>
      <c r="D1008" s="61"/>
      <c r="E1008" s="62"/>
      <c r="F1008" s="61"/>
      <c r="G1008" s="91"/>
      <c r="H1008" s="62"/>
      <c r="I1008" s="88"/>
      <c r="J1008" s="88"/>
      <c r="K1008" s="88"/>
      <c r="L1008" s="88"/>
      <c r="M1008" s="88"/>
      <c r="N1008" s="88"/>
      <c r="O1008" s="88"/>
      <c r="P1008" s="6"/>
      <c r="Q1008" s="62"/>
      <c r="R1008" s="91"/>
      <c r="S1008" s="91"/>
    </row>
    <row r="1009">
      <c r="C1009" s="67"/>
      <c r="D1009" s="61"/>
      <c r="E1009" s="62"/>
      <c r="F1009" s="61"/>
      <c r="G1009" s="91"/>
      <c r="H1009" s="62"/>
      <c r="I1009" s="88"/>
      <c r="J1009" s="88"/>
      <c r="K1009" s="88"/>
      <c r="L1009" s="88"/>
      <c r="M1009" s="88"/>
      <c r="N1009" s="88"/>
      <c r="O1009" s="88"/>
      <c r="P1009" s="6"/>
      <c r="Q1009" s="62"/>
      <c r="R1009" s="91"/>
      <c r="S1009" s="91"/>
    </row>
    <row r="1010">
      <c r="C1010" s="67"/>
      <c r="D1010" s="61"/>
      <c r="E1010" s="62"/>
      <c r="F1010" s="61"/>
      <c r="G1010" s="91"/>
      <c r="H1010" s="62"/>
      <c r="I1010" s="88"/>
      <c r="J1010" s="88"/>
      <c r="K1010" s="88"/>
      <c r="L1010" s="88"/>
      <c r="M1010" s="88"/>
      <c r="N1010" s="88"/>
      <c r="O1010" s="88"/>
      <c r="P1010" s="6"/>
      <c r="Q1010" s="62"/>
      <c r="R1010" s="91"/>
      <c r="S1010" s="91"/>
    </row>
    <row r="1011">
      <c r="C1011" s="67"/>
      <c r="D1011" s="61"/>
      <c r="E1011" s="62"/>
      <c r="F1011" s="61"/>
      <c r="G1011" s="91"/>
      <c r="H1011" s="62"/>
      <c r="I1011" s="88"/>
      <c r="J1011" s="88"/>
      <c r="K1011" s="88"/>
      <c r="L1011" s="88"/>
      <c r="M1011" s="88"/>
      <c r="N1011" s="88"/>
      <c r="O1011" s="88"/>
      <c r="P1011" s="6"/>
      <c r="Q1011" s="62"/>
      <c r="R1011" s="91"/>
      <c r="S1011" s="91"/>
    </row>
    <row r="1012">
      <c r="C1012" s="67"/>
      <c r="D1012" s="61"/>
      <c r="E1012" s="62"/>
      <c r="F1012" s="61"/>
      <c r="G1012" s="91"/>
      <c r="H1012" s="62"/>
      <c r="I1012" s="88"/>
      <c r="J1012" s="88"/>
      <c r="K1012" s="88"/>
      <c r="L1012" s="88"/>
      <c r="M1012" s="88"/>
      <c r="N1012" s="88"/>
      <c r="O1012" s="88"/>
      <c r="P1012" s="6"/>
      <c r="Q1012" s="62"/>
      <c r="R1012" s="91"/>
      <c r="S1012" s="91"/>
    </row>
    <row r="1013">
      <c r="C1013" s="67"/>
      <c r="D1013" s="61"/>
      <c r="E1013" s="62"/>
      <c r="F1013" s="61"/>
      <c r="G1013" s="91"/>
      <c r="H1013" s="62"/>
      <c r="I1013" s="88"/>
      <c r="J1013" s="88"/>
      <c r="K1013" s="88"/>
      <c r="L1013" s="88"/>
      <c r="M1013" s="88"/>
      <c r="N1013" s="88"/>
      <c r="O1013" s="88"/>
      <c r="P1013" s="6"/>
      <c r="Q1013" s="62"/>
      <c r="R1013" s="91"/>
      <c r="S1013" s="91"/>
    </row>
    <row r="1014">
      <c r="C1014" s="67"/>
      <c r="D1014" s="61"/>
      <c r="E1014" s="62"/>
      <c r="F1014" s="61"/>
      <c r="G1014" s="91"/>
      <c r="H1014" s="62"/>
      <c r="I1014" s="88"/>
      <c r="J1014" s="88"/>
      <c r="K1014" s="88"/>
      <c r="L1014" s="88"/>
      <c r="M1014" s="88"/>
      <c r="N1014" s="88"/>
      <c r="O1014" s="88"/>
      <c r="P1014" s="6"/>
      <c r="Q1014" s="62"/>
      <c r="R1014" s="91"/>
      <c r="S1014" s="91"/>
    </row>
    <row r="1015">
      <c r="C1015" s="67"/>
      <c r="D1015" s="61"/>
      <c r="E1015" s="62"/>
      <c r="F1015" s="61"/>
      <c r="G1015" s="91"/>
      <c r="H1015" s="62"/>
      <c r="I1015" s="88"/>
      <c r="J1015" s="88"/>
      <c r="K1015" s="88"/>
      <c r="L1015" s="88"/>
      <c r="M1015" s="88"/>
      <c r="N1015" s="88"/>
      <c r="O1015" s="88"/>
      <c r="P1015" s="6"/>
      <c r="Q1015" s="62"/>
      <c r="R1015" s="91"/>
      <c r="S1015" s="91"/>
    </row>
    <row r="1016">
      <c r="C1016" s="67"/>
      <c r="D1016" s="61"/>
      <c r="E1016" s="62"/>
      <c r="F1016" s="61"/>
      <c r="G1016" s="91"/>
      <c r="H1016" s="62"/>
      <c r="I1016" s="88"/>
      <c r="J1016" s="88"/>
      <c r="K1016" s="88"/>
      <c r="L1016" s="88"/>
      <c r="M1016" s="88"/>
      <c r="N1016" s="88"/>
      <c r="O1016" s="88"/>
      <c r="P1016" s="6"/>
      <c r="Q1016" s="62"/>
      <c r="R1016" s="91"/>
      <c r="S1016" s="91"/>
    </row>
    <row r="1017">
      <c r="C1017" s="67"/>
      <c r="D1017" s="61"/>
      <c r="E1017" s="62"/>
      <c r="F1017" s="61"/>
      <c r="G1017" s="91"/>
      <c r="H1017" s="62"/>
      <c r="I1017" s="88"/>
      <c r="J1017" s="88"/>
      <c r="K1017" s="88"/>
      <c r="L1017" s="88"/>
      <c r="M1017" s="88"/>
      <c r="N1017" s="88"/>
      <c r="O1017" s="88"/>
      <c r="P1017" s="6"/>
      <c r="Q1017" s="62"/>
      <c r="R1017" s="91"/>
      <c r="S1017" s="91"/>
    </row>
    <row r="1018">
      <c r="C1018" s="67"/>
      <c r="D1018" s="61"/>
      <c r="E1018" s="62"/>
      <c r="F1018" s="61"/>
      <c r="G1018" s="91"/>
      <c r="H1018" s="62"/>
      <c r="I1018" s="88"/>
      <c r="J1018" s="88"/>
      <c r="K1018" s="88"/>
      <c r="L1018" s="88"/>
      <c r="M1018" s="88"/>
      <c r="N1018" s="88"/>
      <c r="O1018" s="88"/>
      <c r="P1018" s="6"/>
      <c r="Q1018" s="62"/>
      <c r="R1018" s="91"/>
      <c r="S1018" s="91"/>
    </row>
    <row r="1019">
      <c r="C1019" s="67"/>
      <c r="D1019" s="61"/>
      <c r="E1019" s="62"/>
      <c r="F1019" s="61"/>
      <c r="G1019" s="91"/>
      <c r="H1019" s="62"/>
      <c r="I1019" s="88"/>
      <c r="J1019" s="88"/>
      <c r="K1019" s="88"/>
      <c r="L1019" s="88"/>
      <c r="M1019" s="88"/>
      <c r="N1019" s="88"/>
      <c r="O1019" s="88"/>
      <c r="P1019" s="6"/>
      <c r="Q1019" s="62"/>
      <c r="R1019" s="91"/>
      <c r="S1019" s="91"/>
    </row>
    <row r="1020">
      <c r="C1020" s="67"/>
      <c r="D1020" s="61"/>
      <c r="E1020" s="62"/>
      <c r="F1020" s="61"/>
      <c r="G1020" s="91"/>
      <c r="H1020" s="62"/>
      <c r="I1020" s="88"/>
      <c r="J1020" s="88"/>
      <c r="K1020" s="88"/>
      <c r="L1020" s="88"/>
      <c r="M1020" s="88"/>
      <c r="N1020" s="88"/>
      <c r="O1020" s="88"/>
      <c r="P1020" s="6"/>
      <c r="Q1020" s="62"/>
      <c r="R1020" s="91"/>
      <c r="S1020" s="91"/>
    </row>
    <row r="1021">
      <c r="C1021" s="67"/>
      <c r="D1021" s="61"/>
      <c r="E1021" s="62"/>
      <c r="F1021" s="61"/>
      <c r="G1021" s="91"/>
      <c r="H1021" s="62"/>
      <c r="I1021" s="88"/>
      <c r="J1021" s="88"/>
      <c r="K1021" s="88"/>
      <c r="L1021" s="88"/>
      <c r="M1021" s="88"/>
      <c r="N1021" s="88"/>
      <c r="O1021" s="88"/>
      <c r="P1021" s="6"/>
      <c r="Q1021" s="62"/>
      <c r="R1021" s="91"/>
      <c r="S1021" s="91"/>
    </row>
    <row r="1022">
      <c r="C1022" s="67"/>
      <c r="D1022" s="61"/>
      <c r="E1022" s="62"/>
      <c r="F1022" s="61"/>
      <c r="G1022" s="91"/>
      <c r="H1022" s="62"/>
      <c r="I1022" s="88"/>
      <c r="J1022" s="88"/>
      <c r="K1022" s="88"/>
      <c r="L1022" s="88"/>
      <c r="M1022" s="88"/>
      <c r="N1022" s="88"/>
      <c r="O1022" s="88"/>
      <c r="P1022" s="6"/>
      <c r="Q1022" s="62"/>
      <c r="R1022" s="91"/>
      <c r="S1022" s="91"/>
    </row>
    <row r="1023">
      <c r="C1023" s="67"/>
      <c r="D1023" s="61"/>
      <c r="E1023" s="62"/>
      <c r="F1023" s="61"/>
      <c r="G1023" s="91"/>
      <c r="H1023" s="62"/>
      <c r="I1023" s="88"/>
      <c r="J1023" s="88"/>
      <c r="K1023" s="88"/>
      <c r="L1023" s="88"/>
      <c r="M1023" s="88"/>
      <c r="N1023" s="88"/>
      <c r="O1023" s="88"/>
      <c r="P1023" s="6"/>
      <c r="Q1023" s="62"/>
      <c r="R1023" s="91"/>
      <c r="S1023" s="91"/>
    </row>
    <row r="1024">
      <c r="C1024" s="67"/>
      <c r="D1024" s="61"/>
      <c r="E1024" s="62"/>
      <c r="F1024" s="61"/>
      <c r="G1024" s="91"/>
      <c r="H1024" s="62"/>
      <c r="I1024" s="88"/>
      <c r="J1024" s="88"/>
      <c r="K1024" s="88"/>
      <c r="L1024" s="88"/>
      <c r="M1024" s="88"/>
      <c r="N1024" s="88"/>
      <c r="O1024" s="88"/>
      <c r="P1024" s="6"/>
      <c r="Q1024" s="62"/>
      <c r="R1024" s="91"/>
      <c r="S1024" s="91"/>
    </row>
    <row r="1025">
      <c r="C1025" s="67"/>
      <c r="D1025" s="61"/>
      <c r="E1025" s="62"/>
      <c r="F1025" s="61"/>
      <c r="G1025" s="91"/>
      <c r="H1025" s="62"/>
      <c r="I1025" s="88"/>
      <c r="J1025" s="88"/>
      <c r="K1025" s="88"/>
      <c r="L1025" s="88"/>
      <c r="M1025" s="88"/>
      <c r="N1025" s="88"/>
      <c r="O1025" s="88"/>
      <c r="P1025" s="6"/>
      <c r="Q1025" s="62"/>
      <c r="R1025" s="91"/>
      <c r="S1025" s="91"/>
    </row>
    <row r="1026">
      <c r="C1026" s="67"/>
      <c r="D1026" s="61"/>
      <c r="E1026" s="62"/>
      <c r="F1026" s="61"/>
      <c r="G1026" s="91"/>
      <c r="H1026" s="62"/>
      <c r="I1026" s="88"/>
      <c r="J1026" s="88"/>
      <c r="K1026" s="88"/>
      <c r="L1026" s="88"/>
      <c r="M1026" s="88"/>
      <c r="N1026" s="88"/>
      <c r="O1026" s="88"/>
      <c r="P1026" s="6"/>
      <c r="Q1026" s="62"/>
      <c r="R1026" s="91"/>
      <c r="S1026" s="91"/>
    </row>
    <row r="1027">
      <c r="C1027" s="67"/>
      <c r="D1027" s="61"/>
      <c r="E1027" s="62"/>
      <c r="F1027" s="61"/>
      <c r="G1027" s="91"/>
      <c r="H1027" s="62"/>
      <c r="I1027" s="88"/>
      <c r="J1027" s="88"/>
      <c r="K1027" s="88"/>
      <c r="L1027" s="88"/>
      <c r="M1027" s="88"/>
      <c r="N1027" s="88"/>
      <c r="O1027" s="88"/>
      <c r="P1027" s="6"/>
      <c r="Q1027" s="62"/>
      <c r="R1027" s="91"/>
      <c r="S1027" s="91"/>
    </row>
    <row r="1028">
      <c r="C1028" s="67"/>
      <c r="D1028" s="61"/>
      <c r="E1028" s="62"/>
      <c r="F1028" s="61"/>
      <c r="G1028" s="91"/>
      <c r="H1028" s="62"/>
      <c r="I1028" s="88"/>
      <c r="J1028" s="88"/>
      <c r="K1028" s="88"/>
      <c r="L1028" s="88"/>
      <c r="M1028" s="88"/>
      <c r="N1028" s="88"/>
      <c r="O1028" s="88"/>
      <c r="P1028" s="6"/>
      <c r="Q1028" s="62"/>
      <c r="R1028" s="91"/>
      <c r="S1028" s="91"/>
    </row>
    <row r="1029">
      <c r="C1029" s="67"/>
      <c r="D1029" s="61"/>
      <c r="E1029" s="62"/>
      <c r="F1029" s="61"/>
      <c r="G1029" s="91"/>
      <c r="H1029" s="62"/>
      <c r="I1029" s="88"/>
      <c r="J1029" s="88"/>
      <c r="K1029" s="88"/>
      <c r="L1029" s="88"/>
      <c r="M1029" s="88"/>
      <c r="N1029" s="88"/>
      <c r="O1029" s="88"/>
      <c r="P1029" s="6"/>
      <c r="Q1029" s="62"/>
      <c r="R1029" s="91"/>
      <c r="S1029" s="91"/>
    </row>
    <row r="1030">
      <c r="C1030" s="67"/>
      <c r="D1030" s="61"/>
      <c r="E1030" s="62"/>
      <c r="F1030" s="61"/>
      <c r="G1030" s="91"/>
      <c r="H1030" s="62"/>
      <c r="I1030" s="88"/>
      <c r="J1030" s="88"/>
      <c r="K1030" s="88"/>
      <c r="L1030" s="88"/>
      <c r="M1030" s="88"/>
      <c r="N1030" s="88"/>
      <c r="O1030" s="88"/>
      <c r="P1030" s="6"/>
      <c r="Q1030" s="62"/>
      <c r="R1030" s="91"/>
      <c r="S1030" s="91"/>
    </row>
    <row r="1031">
      <c r="C1031" s="67"/>
      <c r="D1031" s="61"/>
      <c r="E1031" s="62"/>
      <c r="F1031" s="61"/>
      <c r="G1031" s="91"/>
      <c r="H1031" s="62"/>
      <c r="I1031" s="88"/>
      <c r="J1031" s="88"/>
      <c r="K1031" s="88"/>
      <c r="L1031" s="88"/>
      <c r="M1031" s="88"/>
      <c r="N1031" s="88"/>
      <c r="O1031" s="88"/>
      <c r="P1031" s="6"/>
      <c r="Q1031" s="62"/>
      <c r="R1031" s="91"/>
      <c r="S1031" s="91"/>
    </row>
    <row r="1032">
      <c r="C1032" s="67"/>
      <c r="D1032" s="61"/>
      <c r="E1032" s="62"/>
      <c r="F1032" s="61"/>
      <c r="G1032" s="91"/>
      <c r="H1032" s="62"/>
      <c r="I1032" s="88"/>
      <c r="J1032" s="88"/>
      <c r="K1032" s="88"/>
      <c r="L1032" s="88"/>
      <c r="M1032" s="88"/>
      <c r="N1032" s="88"/>
      <c r="O1032" s="88"/>
      <c r="P1032" s="6"/>
      <c r="Q1032" s="62"/>
      <c r="R1032" s="91"/>
      <c r="S1032" s="91"/>
    </row>
    <row r="1033">
      <c r="C1033" s="67"/>
      <c r="D1033" s="61"/>
      <c r="E1033" s="62"/>
      <c r="F1033" s="61"/>
      <c r="G1033" s="91"/>
      <c r="H1033" s="62"/>
      <c r="I1033" s="88"/>
      <c r="J1033" s="88"/>
      <c r="K1033" s="88"/>
      <c r="L1033" s="88"/>
      <c r="M1033" s="88"/>
      <c r="N1033" s="88"/>
      <c r="O1033" s="88"/>
      <c r="P1033" s="6"/>
      <c r="Q1033" s="62"/>
      <c r="R1033" s="91"/>
      <c r="S1033" s="91"/>
    </row>
    <row r="1034">
      <c r="C1034" s="67"/>
      <c r="D1034" s="61"/>
      <c r="E1034" s="62"/>
      <c r="F1034" s="61"/>
      <c r="G1034" s="91"/>
      <c r="H1034" s="62"/>
      <c r="I1034" s="88"/>
      <c r="J1034" s="88"/>
      <c r="K1034" s="88"/>
      <c r="L1034" s="88"/>
      <c r="M1034" s="88"/>
      <c r="N1034" s="88"/>
      <c r="O1034" s="88"/>
      <c r="P1034" s="6"/>
      <c r="Q1034" s="62"/>
      <c r="R1034" s="91"/>
      <c r="S1034" s="91"/>
    </row>
    <row r="1035">
      <c r="C1035" s="67"/>
      <c r="D1035" s="61"/>
      <c r="E1035" s="62"/>
      <c r="F1035" s="61"/>
      <c r="G1035" s="91"/>
      <c r="H1035" s="62"/>
      <c r="I1035" s="88"/>
      <c r="J1035" s="88"/>
      <c r="K1035" s="88"/>
      <c r="L1035" s="88"/>
      <c r="M1035" s="88"/>
      <c r="N1035" s="88"/>
      <c r="O1035" s="88"/>
      <c r="P1035" s="6"/>
      <c r="Q1035" s="62"/>
      <c r="R1035" s="91"/>
      <c r="S1035" s="91"/>
    </row>
    <row r="1036">
      <c r="C1036" s="67"/>
      <c r="D1036" s="61"/>
      <c r="E1036" s="62"/>
      <c r="F1036" s="61"/>
      <c r="G1036" s="91"/>
      <c r="H1036" s="62"/>
      <c r="I1036" s="88"/>
      <c r="J1036" s="88"/>
      <c r="K1036" s="88"/>
      <c r="L1036" s="88"/>
      <c r="M1036" s="88"/>
      <c r="N1036" s="88"/>
      <c r="O1036" s="88"/>
      <c r="P1036" s="6"/>
      <c r="Q1036" s="62"/>
      <c r="R1036" s="91"/>
      <c r="S1036" s="91"/>
    </row>
    <row r="1037">
      <c r="C1037" s="67"/>
      <c r="D1037" s="61"/>
      <c r="E1037" s="62"/>
      <c r="F1037" s="61"/>
      <c r="G1037" s="91"/>
      <c r="H1037" s="62"/>
      <c r="I1037" s="88"/>
      <c r="J1037" s="88"/>
      <c r="K1037" s="88"/>
      <c r="L1037" s="88"/>
      <c r="M1037" s="88"/>
      <c r="N1037" s="88"/>
      <c r="O1037" s="88"/>
      <c r="P1037" s="6"/>
      <c r="Q1037" s="62"/>
      <c r="R1037" s="91"/>
      <c r="S1037" s="91"/>
    </row>
    <row r="1038">
      <c r="C1038" s="67"/>
      <c r="D1038" s="61"/>
      <c r="E1038" s="62"/>
      <c r="F1038" s="61"/>
      <c r="G1038" s="91"/>
      <c r="H1038" s="62"/>
      <c r="I1038" s="88"/>
      <c r="J1038" s="88"/>
      <c r="K1038" s="88"/>
      <c r="L1038" s="88"/>
      <c r="M1038" s="88"/>
      <c r="N1038" s="88"/>
      <c r="O1038" s="88"/>
      <c r="P1038" s="6"/>
      <c r="Q1038" s="62"/>
      <c r="R1038" s="91"/>
      <c r="S1038" s="91"/>
    </row>
    <row r="1039">
      <c r="C1039" s="67"/>
      <c r="D1039" s="61"/>
      <c r="E1039" s="62"/>
      <c r="F1039" s="61"/>
      <c r="G1039" s="91"/>
      <c r="H1039" s="62"/>
      <c r="I1039" s="88"/>
      <c r="J1039" s="88"/>
      <c r="K1039" s="88"/>
      <c r="L1039" s="88"/>
      <c r="M1039" s="88"/>
      <c r="N1039" s="88"/>
      <c r="O1039" s="88"/>
      <c r="P1039" s="6"/>
      <c r="Q1039" s="62"/>
      <c r="R1039" s="91"/>
      <c r="S1039" s="91"/>
    </row>
    <row r="1040">
      <c r="C1040" s="67"/>
      <c r="D1040" s="61"/>
      <c r="E1040" s="62"/>
      <c r="F1040" s="61"/>
      <c r="G1040" s="91"/>
      <c r="H1040" s="62"/>
      <c r="I1040" s="88"/>
      <c r="J1040" s="88"/>
      <c r="K1040" s="88"/>
      <c r="L1040" s="88"/>
      <c r="M1040" s="88"/>
      <c r="N1040" s="88"/>
      <c r="O1040" s="88"/>
      <c r="P1040" s="6"/>
      <c r="Q1040" s="62"/>
      <c r="R1040" s="91"/>
      <c r="S1040" s="91"/>
    </row>
    <row r="1041">
      <c r="C1041" s="67"/>
      <c r="D1041" s="61"/>
      <c r="E1041" s="62"/>
      <c r="F1041" s="61"/>
      <c r="G1041" s="91"/>
      <c r="H1041" s="62"/>
      <c r="I1041" s="88"/>
      <c r="J1041" s="88"/>
      <c r="K1041" s="88"/>
      <c r="L1041" s="88"/>
      <c r="M1041" s="88"/>
      <c r="N1041" s="88"/>
      <c r="O1041" s="88"/>
      <c r="P1041" s="6"/>
      <c r="Q1041" s="62"/>
      <c r="R1041" s="91"/>
      <c r="S1041" s="91"/>
    </row>
    <row r="1042">
      <c r="C1042" s="67"/>
      <c r="D1042" s="61"/>
      <c r="E1042" s="62"/>
      <c r="F1042" s="61"/>
      <c r="G1042" s="91"/>
      <c r="H1042" s="62"/>
      <c r="I1042" s="88"/>
      <c r="J1042" s="88"/>
      <c r="K1042" s="88"/>
      <c r="L1042" s="88"/>
      <c r="M1042" s="88"/>
      <c r="N1042" s="88"/>
      <c r="O1042" s="88"/>
      <c r="P1042" s="6"/>
      <c r="Q1042" s="62"/>
      <c r="R1042" s="91"/>
      <c r="S1042" s="91"/>
    </row>
    <row r="1043">
      <c r="C1043" s="67"/>
      <c r="D1043" s="61"/>
      <c r="E1043" s="62"/>
      <c r="F1043" s="61"/>
      <c r="G1043" s="91"/>
      <c r="H1043" s="62"/>
      <c r="I1043" s="88"/>
      <c r="J1043" s="88"/>
      <c r="K1043" s="88"/>
      <c r="L1043" s="88"/>
      <c r="M1043" s="88"/>
      <c r="N1043" s="88"/>
      <c r="O1043" s="88"/>
      <c r="P1043" s="6"/>
      <c r="Q1043" s="62"/>
      <c r="R1043" s="91"/>
      <c r="S1043" s="91"/>
    </row>
    <row r="1044">
      <c r="C1044" s="67"/>
      <c r="D1044" s="61"/>
      <c r="E1044" s="62"/>
      <c r="F1044" s="61"/>
      <c r="G1044" s="91"/>
      <c r="H1044" s="62"/>
      <c r="I1044" s="88"/>
      <c r="J1044" s="88"/>
      <c r="K1044" s="88"/>
      <c r="L1044" s="88"/>
      <c r="M1044" s="88"/>
      <c r="N1044" s="88"/>
      <c r="O1044" s="88"/>
      <c r="P1044" s="6"/>
      <c r="Q1044" s="62"/>
      <c r="R1044" s="91"/>
      <c r="S1044" s="91"/>
    </row>
    <row r="1045">
      <c r="C1045" s="67"/>
      <c r="D1045" s="61"/>
      <c r="E1045" s="62"/>
      <c r="F1045" s="61"/>
      <c r="G1045" s="91"/>
      <c r="H1045" s="62"/>
      <c r="I1045" s="88"/>
      <c r="J1045" s="88"/>
      <c r="K1045" s="88"/>
      <c r="L1045" s="88"/>
      <c r="M1045" s="88"/>
      <c r="N1045" s="88"/>
      <c r="O1045" s="88"/>
      <c r="P1045" s="6"/>
      <c r="Q1045" s="62"/>
      <c r="R1045" s="91"/>
      <c r="S1045" s="91"/>
    </row>
    <row r="1046">
      <c r="C1046" s="67"/>
      <c r="D1046" s="61"/>
      <c r="E1046" s="62"/>
      <c r="F1046" s="61"/>
      <c r="G1046" s="91"/>
      <c r="H1046" s="62"/>
      <c r="I1046" s="88"/>
      <c r="J1046" s="88"/>
      <c r="K1046" s="88"/>
      <c r="L1046" s="88"/>
      <c r="M1046" s="88"/>
      <c r="N1046" s="88"/>
      <c r="O1046" s="88"/>
      <c r="P1046" s="6"/>
      <c r="Q1046" s="62"/>
      <c r="R1046" s="91"/>
      <c r="S1046" s="91"/>
    </row>
    <row r="1047">
      <c r="C1047" s="67"/>
      <c r="D1047" s="61"/>
      <c r="E1047" s="62"/>
      <c r="F1047" s="61"/>
      <c r="G1047" s="91"/>
      <c r="H1047" s="62"/>
      <c r="I1047" s="88"/>
      <c r="J1047" s="88"/>
      <c r="K1047" s="88"/>
      <c r="L1047" s="88"/>
      <c r="M1047" s="88"/>
      <c r="N1047" s="88"/>
      <c r="O1047" s="88"/>
      <c r="P1047" s="6"/>
      <c r="Q1047" s="62"/>
      <c r="R1047" s="91"/>
      <c r="S1047" s="91"/>
    </row>
    <row r="1048">
      <c r="C1048" s="67"/>
      <c r="D1048" s="61"/>
      <c r="E1048" s="62"/>
      <c r="F1048" s="61"/>
      <c r="G1048" s="91"/>
      <c r="H1048" s="62"/>
      <c r="I1048" s="88"/>
      <c r="J1048" s="88"/>
      <c r="K1048" s="88"/>
      <c r="L1048" s="88"/>
      <c r="M1048" s="88"/>
      <c r="N1048" s="88"/>
      <c r="O1048" s="88"/>
      <c r="P1048" s="6"/>
      <c r="Q1048" s="62"/>
      <c r="R1048" s="91"/>
      <c r="S1048" s="91"/>
    </row>
    <row r="1049">
      <c r="C1049" s="67"/>
      <c r="D1049" s="61"/>
      <c r="E1049" s="62"/>
      <c r="F1049" s="61"/>
      <c r="G1049" s="91"/>
      <c r="H1049" s="62"/>
      <c r="I1049" s="88"/>
      <c r="J1049" s="88"/>
      <c r="K1049" s="88"/>
      <c r="L1049" s="88"/>
      <c r="M1049" s="88"/>
      <c r="N1049" s="88"/>
      <c r="O1049" s="88"/>
      <c r="P1049" s="6"/>
      <c r="Q1049" s="62"/>
      <c r="R1049" s="91"/>
      <c r="S1049" s="91"/>
    </row>
    <row r="1050">
      <c r="C1050" s="67"/>
      <c r="D1050" s="61"/>
      <c r="E1050" s="62"/>
      <c r="F1050" s="61"/>
      <c r="G1050" s="91"/>
      <c r="H1050" s="62"/>
      <c r="I1050" s="88"/>
      <c r="J1050" s="88"/>
      <c r="K1050" s="88"/>
      <c r="L1050" s="88"/>
      <c r="M1050" s="88"/>
      <c r="N1050" s="88"/>
      <c r="O1050" s="88"/>
      <c r="P1050" s="6"/>
      <c r="Q1050" s="62"/>
      <c r="R1050" s="91"/>
      <c r="S1050" s="91"/>
    </row>
    <row r="1051">
      <c r="C1051" s="67"/>
      <c r="D1051" s="61"/>
      <c r="E1051" s="62"/>
      <c r="F1051" s="61"/>
      <c r="G1051" s="91"/>
      <c r="H1051" s="62"/>
      <c r="I1051" s="88"/>
      <c r="J1051" s="88"/>
      <c r="K1051" s="88"/>
      <c r="L1051" s="88"/>
      <c r="M1051" s="88"/>
      <c r="N1051" s="88"/>
      <c r="O1051" s="88"/>
      <c r="P1051" s="6"/>
      <c r="Q1051" s="62"/>
      <c r="R1051" s="91"/>
      <c r="S1051" s="91"/>
    </row>
    <row r="1052">
      <c r="C1052" s="67"/>
      <c r="D1052" s="61"/>
      <c r="E1052" s="62"/>
      <c r="F1052" s="61"/>
      <c r="G1052" s="91"/>
      <c r="H1052" s="62"/>
      <c r="I1052" s="88"/>
      <c r="J1052" s="88"/>
      <c r="K1052" s="88"/>
      <c r="L1052" s="88"/>
      <c r="M1052" s="88"/>
      <c r="N1052" s="88"/>
      <c r="O1052" s="88"/>
      <c r="P1052" s="6"/>
      <c r="Q1052" s="62"/>
      <c r="R1052" s="91"/>
      <c r="S1052" s="91"/>
    </row>
    <row r="1053">
      <c r="C1053" s="67"/>
      <c r="D1053" s="61"/>
      <c r="E1053" s="62"/>
      <c r="F1053" s="61"/>
      <c r="G1053" s="91"/>
      <c r="H1053" s="62"/>
      <c r="I1053" s="88"/>
      <c r="J1053" s="88"/>
      <c r="K1053" s="88"/>
      <c r="L1053" s="88"/>
      <c r="M1053" s="88"/>
      <c r="N1053" s="88"/>
      <c r="O1053" s="88"/>
      <c r="P1053" s="6"/>
      <c r="Q1053" s="62"/>
      <c r="R1053" s="91"/>
      <c r="S1053" s="91"/>
    </row>
    <row r="1054">
      <c r="C1054" s="67"/>
      <c r="D1054" s="61"/>
      <c r="E1054" s="62"/>
      <c r="F1054" s="61"/>
      <c r="G1054" s="91"/>
      <c r="H1054" s="62"/>
      <c r="I1054" s="88"/>
      <c r="J1054" s="88"/>
      <c r="K1054" s="88"/>
      <c r="L1054" s="88"/>
      <c r="M1054" s="88"/>
      <c r="N1054" s="88"/>
      <c r="O1054" s="88"/>
      <c r="P1054" s="6"/>
      <c r="Q1054" s="62"/>
      <c r="R1054" s="91"/>
      <c r="S1054" s="91"/>
    </row>
    <row r="1055">
      <c r="C1055" s="67"/>
      <c r="D1055" s="61"/>
      <c r="E1055" s="62"/>
      <c r="F1055" s="61"/>
      <c r="G1055" s="91"/>
      <c r="H1055" s="62"/>
      <c r="I1055" s="88"/>
      <c r="J1055" s="88"/>
      <c r="K1055" s="88"/>
      <c r="L1055" s="88"/>
      <c r="M1055" s="88"/>
      <c r="N1055" s="88"/>
      <c r="O1055" s="88"/>
      <c r="P1055" s="6"/>
      <c r="Q1055" s="62"/>
      <c r="R1055" s="91"/>
      <c r="S1055" s="91"/>
    </row>
    <row r="1056">
      <c r="C1056" s="67"/>
      <c r="D1056" s="61"/>
      <c r="E1056" s="62"/>
      <c r="F1056" s="61"/>
      <c r="G1056" s="91"/>
      <c r="H1056" s="62"/>
      <c r="I1056" s="88"/>
      <c r="J1056" s="88"/>
      <c r="K1056" s="88"/>
      <c r="L1056" s="88"/>
      <c r="M1056" s="88"/>
      <c r="N1056" s="88"/>
      <c r="O1056" s="88"/>
      <c r="P1056" s="6"/>
      <c r="Q1056" s="62"/>
      <c r="R1056" s="91"/>
      <c r="S1056" s="91"/>
    </row>
    <row r="1057">
      <c r="C1057" s="67"/>
      <c r="D1057" s="61"/>
      <c r="E1057" s="62"/>
      <c r="F1057" s="61"/>
      <c r="G1057" s="91"/>
      <c r="H1057" s="62"/>
      <c r="I1057" s="88"/>
      <c r="J1057" s="88"/>
      <c r="K1057" s="88"/>
      <c r="L1057" s="88"/>
      <c r="M1057" s="88"/>
      <c r="N1057" s="88"/>
      <c r="O1057" s="88"/>
      <c r="P1057" s="6"/>
      <c r="Q1057" s="62"/>
      <c r="R1057" s="91"/>
      <c r="S1057" s="91"/>
    </row>
    <row r="1058">
      <c r="C1058" s="67"/>
      <c r="D1058" s="61"/>
      <c r="E1058" s="62"/>
      <c r="F1058" s="61"/>
      <c r="G1058" s="91"/>
      <c r="H1058" s="62"/>
      <c r="I1058" s="88"/>
      <c r="J1058" s="88"/>
      <c r="K1058" s="88"/>
      <c r="L1058" s="88"/>
      <c r="M1058" s="88"/>
      <c r="N1058" s="88"/>
      <c r="O1058" s="88"/>
      <c r="P1058" s="6"/>
      <c r="Q1058" s="62"/>
      <c r="R1058" s="91"/>
      <c r="S1058" s="91"/>
    </row>
    <row r="1059">
      <c r="C1059" s="67"/>
      <c r="D1059" s="61"/>
      <c r="E1059" s="62"/>
      <c r="F1059" s="61"/>
      <c r="G1059" s="91"/>
      <c r="H1059" s="62"/>
      <c r="I1059" s="88"/>
      <c r="J1059" s="88"/>
      <c r="K1059" s="88"/>
      <c r="L1059" s="88"/>
      <c r="M1059" s="88"/>
      <c r="N1059" s="88"/>
      <c r="O1059" s="88"/>
      <c r="P1059" s="6"/>
      <c r="Q1059" s="62"/>
      <c r="R1059" s="91"/>
      <c r="S1059" s="91"/>
    </row>
    <row r="1060">
      <c r="C1060" s="67"/>
      <c r="D1060" s="61"/>
      <c r="E1060" s="62"/>
      <c r="F1060" s="61"/>
      <c r="G1060" s="91"/>
      <c r="H1060" s="62"/>
      <c r="I1060" s="88"/>
      <c r="J1060" s="88"/>
      <c r="K1060" s="88"/>
      <c r="L1060" s="88"/>
      <c r="M1060" s="88"/>
      <c r="N1060" s="88"/>
      <c r="O1060" s="88"/>
      <c r="P1060" s="6"/>
      <c r="Q1060" s="62"/>
      <c r="R1060" s="91"/>
      <c r="S1060" s="91"/>
    </row>
    <row r="1061">
      <c r="C1061" s="67"/>
      <c r="D1061" s="61"/>
      <c r="E1061" s="62"/>
      <c r="F1061" s="61"/>
      <c r="G1061" s="91"/>
      <c r="H1061" s="62"/>
      <c r="I1061" s="88"/>
      <c r="J1061" s="88"/>
      <c r="K1061" s="88"/>
      <c r="L1061" s="88"/>
      <c r="M1061" s="88"/>
      <c r="N1061" s="88"/>
      <c r="O1061" s="88"/>
      <c r="P1061" s="6"/>
      <c r="Q1061" s="62"/>
      <c r="R1061" s="91"/>
      <c r="S1061" s="91"/>
    </row>
    <row r="1062">
      <c r="C1062" s="67"/>
      <c r="D1062" s="61"/>
      <c r="E1062" s="62"/>
      <c r="F1062" s="61"/>
      <c r="G1062" s="91"/>
      <c r="H1062" s="62"/>
      <c r="I1062" s="88"/>
      <c r="J1062" s="88"/>
      <c r="K1062" s="88"/>
      <c r="L1062" s="88"/>
      <c r="M1062" s="88"/>
      <c r="N1062" s="88"/>
      <c r="O1062" s="88"/>
      <c r="P1062" s="6"/>
      <c r="Q1062" s="62"/>
      <c r="R1062" s="91"/>
      <c r="S1062" s="91"/>
    </row>
    <row r="1063">
      <c r="C1063" s="67"/>
      <c r="D1063" s="61"/>
      <c r="E1063" s="62"/>
      <c r="F1063" s="61"/>
      <c r="G1063" s="91"/>
      <c r="H1063" s="62"/>
      <c r="I1063" s="88"/>
      <c r="J1063" s="88"/>
      <c r="K1063" s="88"/>
      <c r="L1063" s="88"/>
      <c r="M1063" s="88"/>
      <c r="N1063" s="88"/>
      <c r="O1063" s="88"/>
      <c r="P1063" s="6"/>
      <c r="Q1063" s="62"/>
      <c r="R1063" s="91"/>
      <c r="S1063" s="91"/>
    </row>
    <row r="1064">
      <c r="C1064" s="67"/>
      <c r="D1064" s="61"/>
      <c r="E1064" s="62"/>
      <c r="F1064" s="61"/>
      <c r="G1064" s="91"/>
      <c r="H1064" s="62"/>
      <c r="I1064" s="88"/>
      <c r="J1064" s="88"/>
      <c r="K1064" s="88"/>
      <c r="L1064" s="88"/>
      <c r="M1064" s="88"/>
      <c r="N1064" s="88"/>
      <c r="O1064" s="88"/>
      <c r="P1064" s="6"/>
      <c r="Q1064" s="62"/>
      <c r="R1064" s="91"/>
      <c r="S1064" s="91"/>
    </row>
    <row r="1065">
      <c r="C1065" s="67"/>
      <c r="D1065" s="61"/>
      <c r="E1065" s="62"/>
      <c r="F1065" s="61"/>
      <c r="G1065" s="91"/>
      <c r="H1065" s="62"/>
      <c r="I1065" s="88"/>
      <c r="J1065" s="88"/>
      <c r="K1065" s="88"/>
      <c r="L1065" s="88"/>
      <c r="M1065" s="88"/>
      <c r="N1065" s="88"/>
      <c r="O1065" s="88"/>
      <c r="P1065" s="6"/>
      <c r="Q1065" s="62"/>
      <c r="R1065" s="91"/>
      <c r="S1065" s="91"/>
    </row>
    <row r="1066">
      <c r="C1066" s="67"/>
      <c r="D1066" s="61"/>
      <c r="E1066" s="62"/>
      <c r="F1066" s="61"/>
      <c r="G1066" s="91"/>
      <c r="H1066" s="62"/>
      <c r="I1066" s="88"/>
      <c r="J1066" s="88"/>
      <c r="K1066" s="88"/>
      <c r="L1066" s="88"/>
      <c r="M1066" s="88"/>
      <c r="N1066" s="88"/>
      <c r="O1066" s="88"/>
      <c r="P1066" s="6"/>
      <c r="Q1066" s="62"/>
      <c r="R1066" s="91"/>
      <c r="S1066" s="91"/>
    </row>
    <row r="1067">
      <c r="C1067" s="67"/>
      <c r="D1067" s="61"/>
      <c r="E1067" s="62"/>
      <c r="F1067" s="61"/>
      <c r="G1067" s="91"/>
      <c r="H1067" s="62"/>
      <c r="I1067" s="88"/>
      <c r="J1067" s="88"/>
      <c r="K1067" s="88"/>
      <c r="L1067" s="88"/>
      <c r="M1067" s="88"/>
      <c r="N1067" s="88"/>
      <c r="O1067" s="88"/>
      <c r="P1067" s="6"/>
      <c r="Q1067" s="62"/>
      <c r="R1067" s="91"/>
      <c r="S1067" s="91"/>
    </row>
    <row r="1068">
      <c r="C1068" s="67"/>
      <c r="D1068" s="61"/>
      <c r="E1068" s="62"/>
      <c r="F1068" s="61"/>
      <c r="G1068" s="91"/>
      <c r="H1068" s="62"/>
      <c r="I1068" s="88"/>
      <c r="J1068" s="88"/>
      <c r="K1068" s="88"/>
      <c r="L1068" s="88"/>
      <c r="M1068" s="88"/>
      <c r="N1068" s="88"/>
      <c r="O1068" s="88"/>
      <c r="P1068" s="6"/>
      <c r="Q1068" s="62"/>
      <c r="R1068" s="91"/>
      <c r="S1068" s="91"/>
    </row>
    <row r="1069">
      <c r="C1069" s="67"/>
      <c r="D1069" s="61"/>
      <c r="E1069" s="62"/>
      <c r="F1069" s="61"/>
      <c r="G1069" s="91"/>
      <c r="H1069" s="62"/>
      <c r="I1069" s="88"/>
      <c r="J1069" s="88"/>
      <c r="K1069" s="88"/>
      <c r="L1069" s="88"/>
      <c r="M1069" s="88"/>
      <c r="N1069" s="88"/>
      <c r="O1069" s="88"/>
      <c r="P1069" s="6"/>
      <c r="Q1069" s="62"/>
      <c r="R1069" s="91"/>
      <c r="S1069" s="91"/>
    </row>
    <row r="1070">
      <c r="C1070" s="67"/>
      <c r="D1070" s="61"/>
      <c r="E1070" s="62"/>
      <c r="F1070" s="61"/>
      <c r="G1070" s="91"/>
      <c r="H1070" s="62"/>
      <c r="I1070" s="88"/>
      <c r="J1070" s="88"/>
      <c r="K1070" s="88"/>
      <c r="L1070" s="88"/>
      <c r="M1070" s="88"/>
      <c r="N1070" s="88"/>
      <c r="O1070" s="88"/>
      <c r="P1070" s="6"/>
      <c r="Q1070" s="62"/>
      <c r="R1070" s="91"/>
      <c r="S1070" s="91"/>
    </row>
    <row r="1071">
      <c r="C1071" s="67"/>
      <c r="D1071" s="61"/>
      <c r="E1071" s="62"/>
      <c r="F1071" s="61"/>
      <c r="G1071" s="91"/>
      <c r="H1071" s="62"/>
      <c r="I1071" s="88"/>
      <c r="J1071" s="88"/>
      <c r="K1071" s="88"/>
      <c r="L1071" s="88"/>
      <c r="M1071" s="88"/>
      <c r="N1071" s="88"/>
      <c r="O1071" s="88"/>
      <c r="P1071" s="6"/>
      <c r="Q1071" s="62"/>
      <c r="R1071" s="91"/>
      <c r="S1071" s="91"/>
    </row>
    <row r="1072">
      <c r="C1072" s="67"/>
      <c r="D1072" s="61"/>
      <c r="E1072" s="62"/>
      <c r="F1072" s="61"/>
      <c r="G1072" s="91"/>
      <c r="H1072" s="62"/>
      <c r="I1072" s="88"/>
      <c r="J1072" s="88"/>
      <c r="K1072" s="88"/>
      <c r="L1072" s="88"/>
      <c r="M1072" s="88"/>
      <c r="N1072" s="88"/>
      <c r="O1072" s="88"/>
      <c r="P1072" s="6"/>
      <c r="Q1072" s="62"/>
      <c r="R1072" s="91"/>
      <c r="S1072" s="91"/>
    </row>
    <row r="1073">
      <c r="C1073" s="67"/>
      <c r="D1073" s="61"/>
      <c r="E1073" s="62"/>
      <c r="F1073" s="61"/>
      <c r="G1073" s="91"/>
      <c r="H1073" s="62"/>
      <c r="I1073" s="88"/>
      <c r="J1073" s="88"/>
      <c r="K1073" s="88"/>
      <c r="L1073" s="88"/>
      <c r="M1073" s="88"/>
      <c r="N1073" s="88"/>
      <c r="O1073" s="88"/>
      <c r="P1073" s="6"/>
      <c r="Q1073" s="62"/>
      <c r="R1073" s="91"/>
      <c r="S1073" s="91"/>
    </row>
    <row r="1074">
      <c r="C1074" s="67"/>
      <c r="D1074" s="61"/>
      <c r="E1074" s="62"/>
      <c r="F1074" s="61"/>
      <c r="G1074" s="91"/>
      <c r="H1074" s="62"/>
      <c r="I1074" s="88"/>
      <c r="J1074" s="88"/>
      <c r="K1074" s="88"/>
      <c r="L1074" s="88"/>
      <c r="M1074" s="88"/>
      <c r="N1074" s="88"/>
      <c r="O1074" s="88"/>
      <c r="P1074" s="6"/>
      <c r="Q1074" s="62"/>
      <c r="R1074" s="91"/>
      <c r="S1074" s="91"/>
    </row>
    <row r="1075">
      <c r="C1075" s="67"/>
      <c r="D1075" s="61"/>
      <c r="E1075" s="62"/>
      <c r="F1075" s="61"/>
      <c r="G1075" s="91"/>
      <c r="H1075" s="62"/>
      <c r="I1075" s="88"/>
      <c r="J1075" s="88"/>
      <c r="K1075" s="88"/>
      <c r="L1075" s="88"/>
      <c r="M1075" s="88"/>
      <c r="N1075" s="88"/>
      <c r="O1075" s="88"/>
      <c r="P1075" s="6"/>
      <c r="Q1075" s="62"/>
      <c r="R1075" s="91"/>
      <c r="S1075" s="91"/>
    </row>
    <row r="1076">
      <c r="C1076" s="67"/>
      <c r="D1076" s="61"/>
      <c r="E1076" s="62"/>
      <c r="F1076" s="61"/>
      <c r="G1076" s="91"/>
      <c r="H1076" s="62"/>
      <c r="I1076" s="88"/>
      <c r="J1076" s="88"/>
      <c r="K1076" s="88"/>
      <c r="L1076" s="88"/>
      <c r="M1076" s="88"/>
      <c r="N1076" s="88"/>
      <c r="O1076" s="88"/>
      <c r="P1076" s="6"/>
      <c r="Q1076" s="62"/>
      <c r="R1076" s="91"/>
      <c r="S1076" s="91"/>
    </row>
    <row r="1077">
      <c r="C1077" s="67"/>
      <c r="D1077" s="61"/>
      <c r="E1077" s="62"/>
      <c r="F1077" s="61"/>
      <c r="G1077" s="91"/>
      <c r="H1077" s="62"/>
      <c r="I1077" s="88"/>
      <c r="J1077" s="88"/>
      <c r="K1077" s="88"/>
      <c r="L1077" s="88"/>
      <c r="M1077" s="88"/>
      <c r="N1077" s="88"/>
      <c r="O1077" s="88"/>
      <c r="P1077" s="6"/>
      <c r="Q1077" s="62"/>
      <c r="R1077" s="91"/>
      <c r="S1077" s="91"/>
    </row>
    <row r="1078">
      <c r="C1078" s="67"/>
      <c r="D1078" s="61"/>
      <c r="E1078" s="62"/>
      <c r="F1078" s="61"/>
      <c r="G1078" s="91"/>
      <c r="H1078" s="62"/>
      <c r="I1078" s="88"/>
      <c r="J1078" s="88"/>
      <c r="K1078" s="88"/>
      <c r="L1078" s="88"/>
      <c r="M1078" s="88"/>
      <c r="N1078" s="88"/>
      <c r="O1078" s="88"/>
      <c r="P1078" s="6"/>
      <c r="Q1078" s="62"/>
      <c r="R1078" s="91"/>
      <c r="S1078" s="91"/>
    </row>
    <row r="1079">
      <c r="C1079" s="67"/>
      <c r="D1079" s="61"/>
      <c r="E1079" s="62"/>
      <c r="F1079" s="61"/>
      <c r="G1079" s="91"/>
      <c r="H1079" s="62"/>
      <c r="I1079" s="88"/>
      <c r="J1079" s="88"/>
      <c r="K1079" s="88"/>
      <c r="L1079" s="88"/>
      <c r="M1079" s="88"/>
      <c r="N1079" s="88"/>
      <c r="O1079" s="88"/>
      <c r="P1079" s="6"/>
      <c r="Q1079" s="62"/>
      <c r="R1079" s="91"/>
      <c r="S1079" s="91"/>
    </row>
    <row r="1080">
      <c r="C1080" s="67"/>
      <c r="D1080" s="61"/>
      <c r="E1080" s="62"/>
      <c r="F1080" s="61"/>
      <c r="G1080" s="91"/>
      <c r="H1080" s="62"/>
      <c r="I1080" s="88"/>
      <c r="J1080" s="88"/>
      <c r="K1080" s="88"/>
      <c r="L1080" s="88"/>
      <c r="M1080" s="88"/>
      <c r="N1080" s="88"/>
      <c r="O1080" s="88"/>
      <c r="P1080" s="6"/>
      <c r="Q1080" s="62"/>
      <c r="R1080" s="91"/>
      <c r="S1080" s="91"/>
    </row>
    <row r="1081">
      <c r="C1081" s="67"/>
      <c r="D1081" s="61"/>
      <c r="E1081" s="62"/>
      <c r="F1081" s="61"/>
      <c r="G1081" s="91"/>
      <c r="H1081" s="62"/>
      <c r="I1081" s="88"/>
      <c r="J1081" s="88"/>
      <c r="K1081" s="88"/>
      <c r="L1081" s="88"/>
      <c r="M1081" s="88"/>
      <c r="N1081" s="88"/>
      <c r="O1081" s="88"/>
      <c r="P1081" s="6"/>
      <c r="Q1081" s="62"/>
      <c r="R1081" s="91"/>
      <c r="S1081" s="91"/>
    </row>
    <row r="1082">
      <c r="C1082" s="67"/>
      <c r="D1082" s="61"/>
      <c r="E1082" s="62"/>
      <c r="F1082" s="61"/>
      <c r="G1082" s="91"/>
      <c r="H1082" s="62"/>
      <c r="I1082" s="88"/>
      <c r="J1082" s="88"/>
      <c r="K1082" s="88"/>
      <c r="L1082" s="88"/>
      <c r="M1082" s="88"/>
      <c r="N1082" s="88"/>
      <c r="O1082" s="88"/>
      <c r="P1082" s="6"/>
      <c r="Q1082" s="62"/>
      <c r="R1082" s="91"/>
      <c r="S1082" s="91"/>
    </row>
    <row r="1083">
      <c r="C1083" s="67"/>
      <c r="D1083" s="61"/>
      <c r="E1083" s="62"/>
      <c r="F1083" s="61"/>
      <c r="G1083" s="91"/>
      <c r="H1083" s="62"/>
      <c r="I1083" s="88"/>
      <c r="J1083" s="88"/>
      <c r="K1083" s="88"/>
      <c r="L1083" s="88"/>
      <c r="M1083" s="88"/>
      <c r="N1083" s="88"/>
      <c r="O1083" s="88"/>
      <c r="P1083" s="6"/>
      <c r="Q1083" s="62"/>
      <c r="R1083" s="91"/>
      <c r="S1083" s="91"/>
    </row>
    <row r="1084">
      <c r="C1084" s="67"/>
      <c r="D1084" s="61"/>
      <c r="E1084" s="62"/>
      <c r="F1084" s="61"/>
      <c r="G1084" s="91"/>
      <c r="H1084" s="62"/>
      <c r="I1084" s="88"/>
      <c r="J1084" s="88"/>
      <c r="K1084" s="88"/>
      <c r="L1084" s="88"/>
      <c r="M1084" s="88"/>
      <c r="N1084" s="88"/>
      <c r="O1084" s="88"/>
      <c r="P1084" s="6"/>
      <c r="Q1084" s="62"/>
      <c r="R1084" s="91"/>
      <c r="S1084" s="91"/>
    </row>
    <row r="1085">
      <c r="C1085" s="67"/>
      <c r="D1085" s="61"/>
      <c r="E1085" s="62"/>
      <c r="F1085" s="61"/>
      <c r="G1085" s="91"/>
      <c r="H1085" s="62"/>
      <c r="I1085" s="88"/>
      <c r="J1085" s="88"/>
      <c r="K1085" s="88"/>
      <c r="L1085" s="88"/>
      <c r="M1085" s="88"/>
      <c r="N1085" s="88"/>
      <c r="O1085" s="88"/>
      <c r="P1085" s="6"/>
      <c r="Q1085" s="62"/>
      <c r="R1085" s="91"/>
      <c r="S1085" s="91"/>
    </row>
    <row r="1086">
      <c r="C1086" s="67"/>
      <c r="D1086" s="61"/>
      <c r="E1086" s="62"/>
      <c r="F1086" s="61"/>
      <c r="G1086" s="91"/>
      <c r="H1086" s="62"/>
      <c r="I1086" s="88"/>
      <c r="J1086" s="88"/>
      <c r="K1086" s="88"/>
      <c r="L1086" s="88"/>
      <c r="M1086" s="88"/>
      <c r="N1086" s="88"/>
      <c r="O1086" s="88"/>
      <c r="P1086" s="6"/>
      <c r="Q1086" s="62"/>
      <c r="R1086" s="91"/>
      <c r="S1086" s="91"/>
    </row>
    <row r="1087">
      <c r="C1087" s="67"/>
      <c r="D1087" s="61"/>
      <c r="E1087" s="62"/>
      <c r="F1087" s="61"/>
      <c r="G1087" s="91"/>
      <c r="H1087" s="62"/>
      <c r="I1087" s="88"/>
      <c r="J1087" s="88"/>
      <c r="K1087" s="88"/>
      <c r="L1087" s="88"/>
      <c r="M1087" s="88"/>
      <c r="N1087" s="88"/>
      <c r="O1087" s="88"/>
      <c r="P1087" s="6"/>
      <c r="Q1087" s="62"/>
      <c r="R1087" s="91"/>
      <c r="S1087" s="91"/>
    </row>
    <row r="1088">
      <c r="C1088" s="67"/>
      <c r="D1088" s="61"/>
      <c r="E1088" s="62"/>
      <c r="F1088" s="61"/>
      <c r="G1088" s="91"/>
      <c r="H1088" s="62"/>
      <c r="I1088" s="88"/>
      <c r="J1088" s="88"/>
      <c r="K1088" s="88"/>
      <c r="L1088" s="88"/>
      <c r="M1088" s="88"/>
      <c r="N1088" s="88"/>
      <c r="O1088" s="88"/>
      <c r="P1088" s="6"/>
      <c r="Q1088" s="62"/>
      <c r="R1088" s="91"/>
      <c r="S1088" s="91"/>
    </row>
    <row r="1089">
      <c r="C1089" s="67"/>
      <c r="D1089" s="61"/>
      <c r="E1089" s="62"/>
      <c r="F1089" s="61"/>
      <c r="G1089" s="91"/>
      <c r="H1089" s="62"/>
      <c r="I1089" s="88"/>
      <c r="J1089" s="88"/>
      <c r="K1089" s="88"/>
      <c r="L1089" s="88"/>
      <c r="M1089" s="88"/>
      <c r="N1089" s="88"/>
      <c r="O1089" s="88"/>
      <c r="P1089" s="6"/>
      <c r="Q1089" s="62"/>
      <c r="R1089" s="91"/>
      <c r="S1089" s="91"/>
    </row>
    <row r="1090">
      <c r="C1090" s="67"/>
      <c r="D1090" s="61"/>
      <c r="E1090" s="62"/>
      <c r="F1090" s="61"/>
      <c r="G1090" s="91"/>
      <c r="H1090" s="62"/>
      <c r="I1090" s="88"/>
      <c r="J1090" s="88"/>
      <c r="K1090" s="88"/>
      <c r="L1090" s="88"/>
      <c r="M1090" s="88"/>
      <c r="N1090" s="88"/>
      <c r="O1090" s="88"/>
      <c r="P1090" s="6"/>
      <c r="Q1090" s="62"/>
      <c r="R1090" s="91"/>
      <c r="S1090" s="91"/>
    </row>
    <row r="1091">
      <c r="C1091" s="67"/>
      <c r="D1091" s="61"/>
      <c r="E1091" s="62"/>
      <c r="F1091" s="61"/>
      <c r="G1091" s="91"/>
      <c r="H1091" s="62"/>
      <c r="I1091" s="88"/>
      <c r="J1091" s="88"/>
      <c r="K1091" s="88"/>
      <c r="L1091" s="88"/>
      <c r="M1091" s="88"/>
      <c r="N1091" s="88"/>
      <c r="O1091" s="88"/>
      <c r="P1091" s="6"/>
      <c r="Q1091" s="62"/>
      <c r="R1091" s="91"/>
      <c r="S1091" s="91"/>
    </row>
  </sheetData>
  <autoFilter ref="$B$1:$B$1091"/>
  <conditionalFormatting sqref="A2:B402 C2:C1091 D2:S400">
    <cfRule type="expression" dxfId="1" priority="1">
      <formula>$A2="Conforme"</formula>
    </cfRule>
  </conditionalFormatting>
  <conditionalFormatting sqref="A2:B402 C2:C1091 D2:S400">
    <cfRule type="expression" dxfId="2" priority="2">
      <formula>$A2="Dúvida"</formula>
    </cfRule>
  </conditionalFormatting>
  <conditionalFormatting sqref="A2:B402 C2:C1091 D2:S400">
    <cfRule type="expression" dxfId="3" priority="3">
      <formula>$A2&lt;&gt;""</formula>
    </cfRule>
  </conditionalFormatting>
  <dataValidations>
    <dataValidation type="list" allowBlank="1" showErrorMessage="1" sqref="A219 A329">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Publicações duplicadas,Conforme,Dúvida"</formula1>
    </dataValidation>
    <dataValidation type="list" allowBlank="1" showErrorMessage="1" sqref="C3:C5 C8:C9 C11:C12 C14:C20 C22:C24 C26:C28 C31:C32 C34 C36:C37 C39:C42 C44:C62 C64:C66 C69:C73 C75:C78 C80:C103 C105:C109 C111:C112 C114:C122 C124:C125 C127:C130 C132:C139 C141:C142 C144:C148 C150:C153 C155:C160 C162 C165:C180 C182:C185 C187:C188 C190:C192 C194:C204 C206:C216 C218:C219 C221:C223 C225:C228 C230:C232 C234:C241 C243:C267 C270:C272 C274:C278 C280:C282 C284:C285 C288:C291 C293:C298 C300:C302 C305 C307:C309 C311 C316:C317 C320:C326 C329:C334 C336:C337">
      <formula1>"Usar como ref"</formula1>
    </dataValidation>
    <dataValidation type="list" allowBlank="1" showErrorMessage="1" sqref="A2:C2 A3:B5 A6:C7 A8:B9 A10:C10 A11:B12 A13:C13 A14:B20 A21:C21 A22:B24 A25:C25 A26:B28 A29:C30 A31:B32 A33:C33 A34:B34 A35:C35 A36:B37 A38:C38 A39:B42 A43:C43 A44:B62 A63:C63 A64:B66 A67:C68 A69:B73 A74:C74 A75:B78 A79:C79 A80:B103 A104:C104 A105:B109 A110:C110 A111:B112 A113:C113 A114:B122 A123:C123 A124:B125 A126:C126 A127:B130 A131:C131 A132:B139 A140:C140 A141:B142 A143:C143 A144:B148 A149:C149 A150:B153 A154:C154 A155:B160 A161:C161 A162:B162 A163:C164 A165:B180 A181:C181 A182:B185 A186:C186 A187:B188 A189:C189 A190:B192 A193:C193 A194:B204 A205:C205 A206:B216 A217:C217 A218:B218 B219 A220:C220 A221:B223 A224:C224 A225:B228 A229:C229 A230:B232 A233:C233 A234:B241 A242:C242 A243:B267 A268:C269 A270:B272 A273:C273 A274:B278 A279:C279 A280:B282 A283:C283 A284:B285 A286:C287 A288:B291 A292:C292 A293:B298 A299:C299 A300:B302 A303:C304 A305:B305 A306:C306 A307:B309 A310:C310 A311:B311 A312:C315 A316:B317 A318:C319 A320:B326 A327:C328 B329 A330:B334 A335:C335 A336:B337 A338:C402 C403:C1091">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tema,Conforme,Dúvida"</formula1>
    </dataValidation>
  </dataValidations>
  <hyperlinks>
    <hyperlink r:id="rId4" ref="O1"/>
    <hyperlink r:id="rId5" ref="O2"/>
    <hyperlink r:id="rId6" ref="O3"/>
    <hyperlink r:id="rId7" ref="O4"/>
    <hyperlink r:id="rId8" ref="O5"/>
    <hyperlink r:id="rId9" ref="O6"/>
    <hyperlink r:id="rId10" ref="O7"/>
    <hyperlink r:id="rId11" ref="O8"/>
    <hyperlink r:id="rId12" ref="O9"/>
    <hyperlink r:id="rId13" ref="O10"/>
    <hyperlink r:id="rId14" ref="O11"/>
    <hyperlink r:id="rId15" ref="O12"/>
    <hyperlink r:id="rId16" ref="O13"/>
    <hyperlink r:id="rId17" ref="O14"/>
    <hyperlink r:id="rId18" ref="O15"/>
    <hyperlink r:id="rId19" ref="O16"/>
    <hyperlink r:id="rId20" ref="O17"/>
    <hyperlink r:id="rId21" ref="O18"/>
    <hyperlink r:id="rId22" ref="O19"/>
    <hyperlink r:id="rId23" ref="O20"/>
    <hyperlink r:id="rId24" ref="O21"/>
    <hyperlink r:id="rId25" ref="O22"/>
    <hyperlink r:id="rId26" ref="O23"/>
    <hyperlink r:id="rId27" ref="O24"/>
    <hyperlink r:id="rId28" ref="O25"/>
    <hyperlink r:id="rId29" ref="O26"/>
    <hyperlink r:id="rId30" ref="O27"/>
    <hyperlink r:id="rId31" ref="O28"/>
    <hyperlink r:id="rId32" ref="O29"/>
    <hyperlink r:id="rId33" ref="O30"/>
    <hyperlink r:id="rId34" ref="O31"/>
    <hyperlink r:id="rId35" ref="O32"/>
    <hyperlink r:id="rId36" ref="O33"/>
    <hyperlink r:id="rId37" ref="O34"/>
    <hyperlink r:id="rId38" ref="O35"/>
    <hyperlink r:id="rId39" ref="O36"/>
    <hyperlink r:id="rId40" ref="O37"/>
    <hyperlink r:id="rId41" ref="O38"/>
    <hyperlink r:id="rId42" ref="O39"/>
    <hyperlink r:id="rId43" ref="O40"/>
    <hyperlink r:id="rId44" ref="O41"/>
    <hyperlink r:id="rId45" ref="O42"/>
    <hyperlink r:id="rId46" ref="O43"/>
    <hyperlink r:id="rId47" ref="O44"/>
    <hyperlink r:id="rId48" ref="O45"/>
    <hyperlink r:id="rId49" ref="O46"/>
    <hyperlink r:id="rId50" ref="O47"/>
    <hyperlink r:id="rId51" ref="O48"/>
    <hyperlink r:id="rId52" ref="O49"/>
    <hyperlink r:id="rId53" ref="O50"/>
    <hyperlink r:id="rId54" ref="O51"/>
    <hyperlink r:id="rId55" ref="O52"/>
    <hyperlink r:id="rId56" ref="O53"/>
    <hyperlink r:id="rId57" ref="O54"/>
    <hyperlink r:id="rId58" ref="O55"/>
    <hyperlink r:id="rId59" ref="O56"/>
    <hyperlink r:id="rId60" ref="O57"/>
    <hyperlink r:id="rId61" ref="O58"/>
    <hyperlink r:id="rId62" ref="O59"/>
    <hyperlink r:id="rId63" ref="O60"/>
    <hyperlink r:id="rId64" ref="O61"/>
    <hyperlink r:id="rId65" ref="O62"/>
    <hyperlink r:id="rId66" ref="O63"/>
    <hyperlink r:id="rId67" ref="O64"/>
    <hyperlink r:id="rId68" ref="O65"/>
    <hyperlink r:id="rId69" ref="O66"/>
    <hyperlink r:id="rId70" ref="O67"/>
    <hyperlink r:id="rId71" ref="O68"/>
    <hyperlink r:id="rId72" ref="O69"/>
  </hyperlinks>
  <drawing r:id="rId73"/>
  <legacyDrawing r:id="rId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hidden="1" min="1" max="2" width="12.63"/>
    <col customWidth="1" min="3" max="3" width="36.88"/>
    <col customWidth="1" min="4" max="5" width="17.5"/>
    <col customWidth="1" min="6" max="6" width="58.0"/>
    <col customWidth="1" min="8" max="8" width="67.13"/>
    <col customWidth="1" min="21" max="21" width="14.75"/>
  </cols>
  <sheetData>
    <row r="1">
      <c r="A1" s="66"/>
      <c r="B1" s="66"/>
      <c r="C1" s="59" t="s">
        <v>54</v>
      </c>
      <c r="D1" s="92" t="s">
        <v>536</v>
      </c>
      <c r="E1" s="60"/>
      <c r="F1" s="87" t="s">
        <v>109</v>
      </c>
      <c r="G1" s="93" t="s">
        <v>110</v>
      </c>
      <c r="H1" s="94" t="s">
        <v>111</v>
      </c>
      <c r="I1" s="66" t="s">
        <v>112</v>
      </c>
      <c r="J1" s="95" t="s">
        <v>537</v>
      </c>
      <c r="K1" s="93" t="s">
        <v>113</v>
      </c>
      <c r="L1" s="93" t="s">
        <v>114</v>
      </c>
      <c r="M1" s="93" t="s">
        <v>115</v>
      </c>
      <c r="N1" s="93" t="s">
        <v>116</v>
      </c>
      <c r="O1" s="93" t="s">
        <v>117</v>
      </c>
      <c r="P1" s="93" t="s">
        <v>538</v>
      </c>
      <c r="Q1" s="93" t="s">
        <v>118</v>
      </c>
      <c r="R1" s="94" t="s">
        <v>119</v>
      </c>
      <c r="S1" s="96" t="s">
        <v>8</v>
      </c>
      <c r="T1" s="66" t="s">
        <v>120</v>
      </c>
      <c r="U1" s="66" t="s">
        <v>121</v>
      </c>
      <c r="V1" s="66" t="s">
        <v>122</v>
      </c>
      <c r="W1" s="66" t="s">
        <v>539</v>
      </c>
      <c r="X1" s="66" t="s">
        <v>123</v>
      </c>
    </row>
    <row r="2">
      <c r="A2" s="66"/>
      <c r="B2" s="66"/>
      <c r="C2" s="67" t="s">
        <v>124</v>
      </c>
      <c r="D2" s="67"/>
      <c r="E2" s="67"/>
      <c r="F2" s="97" t="s">
        <v>352</v>
      </c>
      <c r="G2" s="69">
        <v>2023.0</v>
      </c>
      <c r="H2" s="68" t="s">
        <v>540</v>
      </c>
      <c r="I2" s="97" t="s">
        <v>541</v>
      </c>
      <c r="J2" s="97" t="s">
        <v>542</v>
      </c>
      <c r="K2" s="70"/>
      <c r="L2" s="70"/>
      <c r="M2" s="98"/>
      <c r="N2" s="69">
        <v>1.0</v>
      </c>
      <c r="O2" s="69">
        <v>9.0</v>
      </c>
      <c r="P2" s="98">
        <f t="shared" ref="P2:P40" si="1">O2-N2</f>
        <v>8</v>
      </c>
      <c r="Q2" s="99"/>
      <c r="R2" s="68" t="s">
        <v>355</v>
      </c>
      <c r="S2" s="100" t="s">
        <v>543</v>
      </c>
      <c r="T2" s="101"/>
      <c r="U2" s="68" t="s">
        <v>44</v>
      </c>
      <c r="V2" s="101"/>
      <c r="W2" s="101"/>
      <c r="X2" s="101"/>
    </row>
    <row r="3">
      <c r="A3" s="66"/>
      <c r="B3" s="102"/>
      <c r="C3" s="67" t="s">
        <v>175</v>
      </c>
      <c r="D3" s="67"/>
      <c r="E3" s="67"/>
      <c r="F3" s="97" t="s">
        <v>42</v>
      </c>
      <c r="G3" s="69">
        <v>2022.0</v>
      </c>
      <c r="H3" s="68" t="s">
        <v>544</v>
      </c>
      <c r="I3" s="97" t="s">
        <v>43</v>
      </c>
      <c r="J3" s="97" t="s">
        <v>545</v>
      </c>
      <c r="K3" s="70"/>
      <c r="L3" s="70"/>
      <c r="M3" s="98"/>
      <c r="N3" s="69">
        <v>1.0</v>
      </c>
      <c r="O3" s="69">
        <v>8.0</v>
      </c>
      <c r="P3" s="98">
        <f t="shared" si="1"/>
        <v>7</v>
      </c>
      <c r="Q3" s="99"/>
      <c r="R3" s="68" t="s">
        <v>546</v>
      </c>
      <c r="S3" s="100" t="s">
        <v>46</v>
      </c>
      <c r="T3" s="101"/>
      <c r="U3" s="68" t="s">
        <v>44</v>
      </c>
      <c r="V3" s="101"/>
      <c r="W3" s="101"/>
      <c r="X3" s="101"/>
    </row>
    <row r="4">
      <c r="A4" s="66"/>
      <c r="B4" s="102"/>
      <c r="C4" s="67" t="s">
        <v>124</v>
      </c>
      <c r="D4" s="67"/>
      <c r="E4" s="67"/>
      <c r="F4" s="97" t="s">
        <v>547</v>
      </c>
      <c r="G4" s="69">
        <v>2021.0</v>
      </c>
      <c r="H4" s="68" t="s">
        <v>548</v>
      </c>
      <c r="I4" s="97" t="s">
        <v>549</v>
      </c>
      <c r="J4" s="97" t="s">
        <v>550</v>
      </c>
      <c r="K4" s="70"/>
      <c r="L4" s="70"/>
      <c r="M4" s="98"/>
      <c r="N4" s="69">
        <v>1.0</v>
      </c>
      <c r="O4" s="69">
        <v>2.0</v>
      </c>
      <c r="P4" s="98">
        <f t="shared" si="1"/>
        <v>1</v>
      </c>
      <c r="Q4" s="99"/>
      <c r="R4" s="68" t="s">
        <v>551</v>
      </c>
      <c r="S4" s="100" t="s">
        <v>552</v>
      </c>
      <c r="T4" s="101"/>
      <c r="U4" s="68" t="s">
        <v>44</v>
      </c>
      <c r="V4" s="101"/>
      <c r="W4" s="101"/>
      <c r="X4" s="101"/>
    </row>
    <row r="5">
      <c r="A5" s="66"/>
      <c r="B5" s="66"/>
      <c r="C5" s="67" t="s">
        <v>124</v>
      </c>
      <c r="D5" s="67"/>
      <c r="E5" s="67"/>
      <c r="F5" s="97" t="s">
        <v>553</v>
      </c>
      <c r="G5" s="69">
        <v>2025.0</v>
      </c>
      <c r="H5" s="68" t="s">
        <v>554</v>
      </c>
      <c r="I5" s="97" t="s">
        <v>555</v>
      </c>
      <c r="J5" s="97" t="s">
        <v>556</v>
      </c>
      <c r="K5" s="70"/>
      <c r="L5" s="70"/>
      <c r="M5" s="98"/>
      <c r="N5" s="69">
        <v>1.0</v>
      </c>
      <c r="O5" s="69">
        <v>11.0</v>
      </c>
      <c r="P5" s="98">
        <f t="shared" si="1"/>
        <v>10</v>
      </c>
      <c r="Q5" s="99"/>
      <c r="R5" s="68" t="s">
        <v>557</v>
      </c>
      <c r="S5" s="100" t="s">
        <v>558</v>
      </c>
      <c r="T5" s="101"/>
      <c r="U5" s="68" t="s">
        <v>44</v>
      </c>
      <c r="V5" s="101"/>
      <c r="W5" s="101"/>
      <c r="X5" s="101"/>
    </row>
    <row r="6">
      <c r="A6" s="66"/>
      <c r="B6" s="66"/>
      <c r="C6" s="67" t="s">
        <v>175</v>
      </c>
      <c r="D6" s="67"/>
      <c r="E6" s="67"/>
      <c r="F6" s="97" t="s">
        <v>55</v>
      </c>
      <c r="G6" s="69">
        <v>2022.0</v>
      </c>
      <c r="H6" s="68" t="s">
        <v>559</v>
      </c>
      <c r="I6" s="97" t="s">
        <v>56</v>
      </c>
      <c r="J6" s="97" t="s">
        <v>560</v>
      </c>
      <c r="K6" s="69">
        <v>65.0</v>
      </c>
      <c r="L6" s="69">
        <v>3.0</v>
      </c>
      <c r="M6" s="98"/>
      <c r="N6" s="69">
        <v>309.0</v>
      </c>
      <c r="O6" s="69">
        <v>319.0</v>
      </c>
      <c r="P6" s="98">
        <f t="shared" si="1"/>
        <v>10</v>
      </c>
      <c r="Q6" s="99"/>
      <c r="R6" s="68" t="s">
        <v>561</v>
      </c>
      <c r="S6" s="100" t="s">
        <v>58</v>
      </c>
      <c r="T6" s="101"/>
      <c r="U6" s="68" t="s">
        <v>57</v>
      </c>
      <c r="V6" s="101"/>
      <c r="W6" s="101"/>
      <c r="X6" s="101"/>
    </row>
    <row r="7">
      <c r="A7" s="66"/>
      <c r="B7" s="66"/>
      <c r="C7" s="67" t="s">
        <v>124</v>
      </c>
      <c r="D7" s="67"/>
      <c r="E7" s="67"/>
      <c r="F7" s="97" t="s">
        <v>562</v>
      </c>
      <c r="G7" s="69">
        <v>2025.0</v>
      </c>
      <c r="H7" s="68" t="s">
        <v>563</v>
      </c>
      <c r="I7" s="97" t="s">
        <v>564</v>
      </c>
      <c r="J7" s="97" t="s">
        <v>565</v>
      </c>
      <c r="K7" s="70"/>
      <c r="L7" s="70"/>
      <c r="M7" s="98"/>
      <c r="N7" s="69">
        <v>336.0</v>
      </c>
      <c r="O7" s="69">
        <v>346.0</v>
      </c>
      <c r="P7" s="98">
        <f t="shared" si="1"/>
        <v>10</v>
      </c>
      <c r="Q7" s="99"/>
      <c r="R7" s="68" t="s">
        <v>566</v>
      </c>
      <c r="S7" s="100" t="s">
        <v>567</v>
      </c>
      <c r="T7" s="101"/>
      <c r="U7" s="68" t="s">
        <v>44</v>
      </c>
      <c r="V7" s="101"/>
      <c r="W7" s="101"/>
      <c r="X7" s="101"/>
    </row>
    <row r="8">
      <c r="A8" s="66"/>
      <c r="B8" s="102"/>
      <c r="C8" s="67" t="s">
        <v>124</v>
      </c>
      <c r="D8" s="67"/>
      <c r="E8" s="67"/>
      <c r="F8" s="97" t="s">
        <v>568</v>
      </c>
      <c r="G8" s="69">
        <v>2022.0</v>
      </c>
      <c r="H8" s="68" t="s">
        <v>569</v>
      </c>
      <c r="I8" s="97" t="s">
        <v>570</v>
      </c>
      <c r="J8" s="97" t="s">
        <v>571</v>
      </c>
      <c r="K8" s="70"/>
      <c r="L8" s="70"/>
      <c r="M8" s="98"/>
      <c r="N8" s="69">
        <v>981.0</v>
      </c>
      <c r="O8" s="69">
        <v>988.0</v>
      </c>
      <c r="P8" s="98">
        <f t="shared" si="1"/>
        <v>7</v>
      </c>
      <c r="Q8" s="99"/>
      <c r="R8" s="68" t="s">
        <v>572</v>
      </c>
      <c r="S8" s="100" t="s">
        <v>573</v>
      </c>
      <c r="T8" s="101"/>
      <c r="U8" s="68" t="s">
        <v>44</v>
      </c>
      <c r="V8" s="101"/>
      <c r="W8" s="101"/>
      <c r="X8" s="101"/>
    </row>
    <row r="9">
      <c r="A9" s="66"/>
      <c r="B9" s="66"/>
      <c r="C9" s="67" t="s">
        <v>124</v>
      </c>
      <c r="D9" s="67"/>
      <c r="E9" s="67"/>
      <c r="F9" s="97" t="s">
        <v>574</v>
      </c>
      <c r="G9" s="69">
        <v>2025.0</v>
      </c>
      <c r="H9" s="68" t="s">
        <v>575</v>
      </c>
      <c r="I9" s="97" t="s">
        <v>576</v>
      </c>
      <c r="J9" s="97" t="s">
        <v>577</v>
      </c>
      <c r="K9" s="70"/>
      <c r="L9" s="70"/>
      <c r="M9" s="98"/>
      <c r="N9" s="69">
        <v>1.0</v>
      </c>
      <c r="O9" s="69">
        <v>5.0</v>
      </c>
      <c r="P9" s="98">
        <f t="shared" si="1"/>
        <v>4</v>
      </c>
      <c r="Q9" s="99"/>
      <c r="R9" s="68" t="s">
        <v>578</v>
      </c>
      <c r="S9" s="100" t="s">
        <v>579</v>
      </c>
      <c r="T9" s="101"/>
      <c r="U9" s="68" t="s">
        <v>44</v>
      </c>
      <c r="V9" s="101"/>
      <c r="W9" s="101"/>
      <c r="X9" s="101"/>
    </row>
    <row r="10">
      <c r="A10" s="66"/>
      <c r="B10" s="66"/>
      <c r="C10" s="67" t="s">
        <v>154</v>
      </c>
      <c r="D10" s="67" t="s">
        <v>154</v>
      </c>
      <c r="E10" s="67"/>
      <c r="F10" s="97" t="s">
        <v>580</v>
      </c>
      <c r="G10" s="69">
        <v>2023.0</v>
      </c>
      <c r="H10" s="68" t="s">
        <v>581</v>
      </c>
      <c r="I10" s="97" t="s">
        <v>582</v>
      </c>
      <c r="J10" s="97" t="s">
        <v>542</v>
      </c>
      <c r="K10" s="70"/>
      <c r="L10" s="70"/>
      <c r="M10" s="98"/>
      <c r="N10" s="69">
        <v>1.0</v>
      </c>
      <c r="O10" s="69">
        <v>9.0</v>
      </c>
      <c r="P10" s="98">
        <f t="shared" si="1"/>
        <v>8</v>
      </c>
      <c r="Q10" s="99"/>
      <c r="R10" s="68" t="s">
        <v>583</v>
      </c>
      <c r="S10" s="100" t="s">
        <v>584</v>
      </c>
      <c r="T10" s="101"/>
      <c r="U10" s="68" t="s">
        <v>44</v>
      </c>
      <c r="V10" s="101"/>
      <c r="W10" s="101"/>
      <c r="X10" s="101"/>
    </row>
    <row r="11">
      <c r="A11" s="66"/>
      <c r="B11" s="66"/>
      <c r="C11" s="67" t="s">
        <v>124</v>
      </c>
      <c r="D11" s="67"/>
      <c r="E11" s="67"/>
      <c r="F11" s="97" t="s">
        <v>585</v>
      </c>
      <c r="G11" s="69">
        <v>2023.0</v>
      </c>
      <c r="H11" s="68" t="s">
        <v>586</v>
      </c>
      <c r="I11" s="97" t="s">
        <v>587</v>
      </c>
      <c r="J11" s="97" t="s">
        <v>588</v>
      </c>
      <c r="K11" s="70"/>
      <c r="L11" s="70"/>
      <c r="M11" s="98"/>
      <c r="N11" s="69">
        <v>1.0</v>
      </c>
      <c r="O11" s="69">
        <v>10.0</v>
      </c>
      <c r="P11" s="98">
        <f t="shared" si="1"/>
        <v>9</v>
      </c>
      <c r="Q11" s="99"/>
      <c r="R11" s="68" t="s">
        <v>589</v>
      </c>
      <c r="S11" s="100" t="s">
        <v>590</v>
      </c>
      <c r="T11" s="101"/>
      <c r="U11" s="68" t="s">
        <v>44</v>
      </c>
      <c r="V11" s="101"/>
      <c r="W11" s="101"/>
      <c r="X11" s="101"/>
    </row>
    <row r="12">
      <c r="A12" s="66"/>
      <c r="B12" s="102"/>
      <c r="C12" s="67" t="s">
        <v>124</v>
      </c>
      <c r="D12" s="67"/>
      <c r="E12" s="67"/>
      <c r="F12" s="97" t="s">
        <v>591</v>
      </c>
      <c r="G12" s="69">
        <v>2020.0</v>
      </c>
      <c r="H12" s="68" t="s">
        <v>592</v>
      </c>
      <c r="I12" s="97" t="s">
        <v>593</v>
      </c>
      <c r="J12" s="97" t="s">
        <v>594</v>
      </c>
      <c r="K12" s="70"/>
      <c r="L12" s="70"/>
      <c r="M12" s="98"/>
      <c r="N12" s="69">
        <v>1.0</v>
      </c>
      <c r="O12" s="69">
        <v>5.0</v>
      </c>
      <c r="P12" s="98">
        <f t="shared" si="1"/>
        <v>4</v>
      </c>
      <c r="Q12" s="99"/>
      <c r="R12" s="68" t="s">
        <v>595</v>
      </c>
      <c r="S12" s="100" t="s">
        <v>596</v>
      </c>
      <c r="T12" s="101"/>
      <c r="U12" s="68" t="s">
        <v>44</v>
      </c>
      <c r="V12" s="101"/>
      <c r="W12" s="101"/>
      <c r="X12" s="101"/>
    </row>
    <row r="13">
      <c r="A13" s="66"/>
      <c r="B13" s="66"/>
      <c r="C13" s="67" t="s">
        <v>124</v>
      </c>
      <c r="D13" s="67"/>
      <c r="E13" s="67"/>
      <c r="F13" s="97" t="s">
        <v>597</v>
      </c>
      <c r="G13" s="69">
        <v>2021.0</v>
      </c>
      <c r="H13" s="68" t="s">
        <v>598</v>
      </c>
      <c r="I13" s="97" t="s">
        <v>599</v>
      </c>
      <c r="J13" s="97" t="s">
        <v>600</v>
      </c>
      <c r="K13" s="70"/>
      <c r="L13" s="70"/>
      <c r="M13" s="98"/>
      <c r="N13" s="69">
        <v>1050.0</v>
      </c>
      <c r="O13" s="69">
        <v>1054.0</v>
      </c>
      <c r="P13" s="98">
        <f t="shared" si="1"/>
        <v>4</v>
      </c>
      <c r="Q13" s="99"/>
      <c r="R13" s="68" t="s">
        <v>601</v>
      </c>
      <c r="S13" s="100" t="s">
        <v>602</v>
      </c>
      <c r="T13" s="101"/>
      <c r="U13" s="68" t="s">
        <v>44</v>
      </c>
      <c r="V13" s="101"/>
      <c r="W13" s="101"/>
      <c r="X13" s="101"/>
    </row>
    <row r="14">
      <c r="A14" s="66"/>
      <c r="B14" s="66"/>
      <c r="C14" s="67" t="s">
        <v>175</v>
      </c>
      <c r="D14" s="67"/>
      <c r="E14" s="67"/>
      <c r="F14" s="97" t="s">
        <v>66</v>
      </c>
      <c r="G14" s="69">
        <v>2022.0</v>
      </c>
      <c r="H14" s="68" t="s">
        <v>603</v>
      </c>
      <c r="I14" s="97" t="s">
        <v>67</v>
      </c>
      <c r="J14" s="97" t="s">
        <v>571</v>
      </c>
      <c r="K14" s="70"/>
      <c r="L14" s="70"/>
      <c r="M14" s="98"/>
      <c r="N14" s="69">
        <v>86.0</v>
      </c>
      <c r="O14" s="69">
        <v>93.0</v>
      </c>
      <c r="P14" s="98">
        <f t="shared" si="1"/>
        <v>7</v>
      </c>
      <c r="Q14" s="99"/>
      <c r="R14" s="68" t="s">
        <v>604</v>
      </c>
      <c r="S14" s="100" t="s">
        <v>68</v>
      </c>
      <c r="T14" s="101"/>
      <c r="U14" s="68" t="s">
        <v>44</v>
      </c>
      <c r="V14" s="101"/>
      <c r="W14" s="101"/>
      <c r="X14" s="101"/>
    </row>
    <row r="15">
      <c r="A15" s="66"/>
      <c r="B15" s="66"/>
      <c r="C15" s="67" t="s">
        <v>124</v>
      </c>
      <c r="D15" s="67"/>
      <c r="E15" s="67"/>
      <c r="F15" s="97" t="s">
        <v>605</v>
      </c>
      <c r="G15" s="69">
        <v>2024.0</v>
      </c>
      <c r="H15" s="68" t="s">
        <v>606</v>
      </c>
      <c r="I15" s="97" t="s">
        <v>607</v>
      </c>
      <c r="J15" s="97" t="s">
        <v>608</v>
      </c>
      <c r="K15" s="70"/>
      <c r="L15" s="70"/>
      <c r="M15" s="98"/>
      <c r="N15" s="69">
        <v>1.0</v>
      </c>
      <c r="O15" s="69">
        <v>7.0</v>
      </c>
      <c r="P15" s="98">
        <f t="shared" si="1"/>
        <v>6</v>
      </c>
      <c r="Q15" s="103"/>
      <c r="R15" s="68" t="s">
        <v>609</v>
      </c>
      <c r="S15" s="100" t="s">
        <v>610</v>
      </c>
      <c r="T15" s="101"/>
      <c r="U15" s="68" t="s">
        <v>44</v>
      </c>
      <c r="V15" s="101"/>
      <c r="W15" s="101"/>
      <c r="X15" s="101"/>
    </row>
    <row r="16">
      <c r="A16" s="66"/>
      <c r="B16" s="66"/>
      <c r="C16" s="67" t="s">
        <v>124</v>
      </c>
      <c r="D16" s="67"/>
      <c r="E16" s="67"/>
      <c r="F16" s="97" t="s">
        <v>611</v>
      </c>
      <c r="G16" s="69">
        <v>2023.0</v>
      </c>
      <c r="H16" s="68" t="s">
        <v>612</v>
      </c>
      <c r="I16" s="97" t="s">
        <v>613</v>
      </c>
      <c r="J16" s="97" t="s">
        <v>542</v>
      </c>
      <c r="K16" s="70"/>
      <c r="L16" s="70"/>
      <c r="M16" s="98"/>
      <c r="N16" s="69">
        <v>1.0</v>
      </c>
      <c r="O16" s="69">
        <v>9.0</v>
      </c>
      <c r="P16" s="98">
        <f t="shared" si="1"/>
        <v>8</v>
      </c>
      <c r="Q16" s="99"/>
      <c r="R16" s="68" t="s">
        <v>614</v>
      </c>
      <c r="S16" s="100" t="s">
        <v>615</v>
      </c>
      <c r="T16" s="101"/>
      <c r="U16" s="68" t="s">
        <v>44</v>
      </c>
      <c r="V16" s="101"/>
      <c r="W16" s="101"/>
      <c r="X16" s="101"/>
    </row>
    <row r="17">
      <c r="A17" s="66"/>
      <c r="B17" s="66"/>
      <c r="C17" s="67" t="s">
        <v>124</v>
      </c>
      <c r="D17" s="67"/>
      <c r="E17" s="67"/>
      <c r="F17" s="97" t="s">
        <v>616</v>
      </c>
      <c r="G17" s="69">
        <v>2024.0</v>
      </c>
      <c r="H17" s="68" t="s">
        <v>617</v>
      </c>
      <c r="I17" s="97" t="s">
        <v>618</v>
      </c>
      <c r="J17" s="97" t="s">
        <v>619</v>
      </c>
      <c r="K17" s="70"/>
      <c r="L17" s="70"/>
      <c r="M17" s="98"/>
      <c r="N17" s="69">
        <v>1.0</v>
      </c>
      <c r="O17" s="69">
        <v>7.0</v>
      </c>
      <c r="P17" s="98">
        <f t="shared" si="1"/>
        <v>6</v>
      </c>
      <c r="Q17" s="99"/>
      <c r="R17" s="68" t="s">
        <v>620</v>
      </c>
      <c r="S17" s="100" t="s">
        <v>621</v>
      </c>
      <c r="T17" s="101"/>
      <c r="U17" s="68" t="s">
        <v>44</v>
      </c>
      <c r="V17" s="101"/>
      <c r="W17" s="101"/>
      <c r="X17" s="101"/>
    </row>
    <row r="18">
      <c r="A18" s="66"/>
      <c r="B18" s="66"/>
      <c r="C18" s="67" t="s">
        <v>124</v>
      </c>
      <c r="D18" s="67"/>
      <c r="E18" s="67"/>
      <c r="F18" s="97" t="s">
        <v>622</v>
      </c>
      <c r="G18" s="69">
        <v>2025.0</v>
      </c>
      <c r="H18" s="68" t="s">
        <v>623</v>
      </c>
      <c r="I18" s="97" t="s">
        <v>624</v>
      </c>
      <c r="J18" s="97" t="s">
        <v>625</v>
      </c>
      <c r="K18" s="70"/>
      <c r="L18" s="70"/>
      <c r="M18" s="98"/>
      <c r="N18" s="69">
        <v>252.0</v>
      </c>
      <c r="O18" s="69">
        <v>257.0</v>
      </c>
      <c r="P18" s="98">
        <f t="shared" si="1"/>
        <v>5</v>
      </c>
      <c r="Q18" s="99"/>
      <c r="R18" s="68" t="s">
        <v>626</v>
      </c>
      <c r="S18" s="100" t="s">
        <v>627</v>
      </c>
      <c r="T18" s="101"/>
      <c r="U18" s="68" t="s">
        <v>44</v>
      </c>
      <c r="V18" s="101"/>
      <c r="W18" s="101"/>
      <c r="X18" s="101"/>
    </row>
    <row r="19">
      <c r="A19" s="66"/>
      <c r="B19" s="66"/>
      <c r="C19" s="67" t="s">
        <v>124</v>
      </c>
      <c r="D19" s="67"/>
      <c r="E19" s="67"/>
      <c r="F19" s="97" t="s">
        <v>628</v>
      </c>
      <c r="G19" s="69">
        <v>2025.0</v>
      </c>
      <c r="H19" s="68" t="s">
        <v>629</v>
      </c>
      <c r="I19" s="97" t="s">
        <v>630</v>
      </c>
      <c r="J19" s="97" t="s">
        <v>560</v>
      </c>
      <c r="K19" s="69">
        <v>68.0</v>
      </c>
      <c r="L19" s="69">
        <v>4.0</v>
      </c>
      <c r="M19" s="98"/>
      <c r="N19" s="69">
        <v>407.0</v>
      </c>
      <c r="O19" s="69">
        <v>416.0</v>
      </c>
      <c r="P19" s="98">
        <f t="shared" si="1"/>
        <v>9</v>
      </c>
      <c r="Q19" s="99"/>
      <c r="R19" s="68" t="s">
        <v>631</v>
      </c>
      <c r="S19" s="100" t="s">
        <v>632</v>
      </c>
      <c r="T19" s="101"/>
      <c r="U19" s="68" t="s">
        <v>57</v>
      </c>
      <c r="V19" s="101"/>
      <c r="W19" s="101"/>
      <c r="X19" s="101"/>
    </row>
    <row r="20">
      <c r="A20" s="66"/>
      <c r="B20" s="66"/>
      <c r="C20" s="67" t="s">
        <v>124</v>
      </c>
      <c r="D20" s="67"/>
      <c r="E20" s="67"/>
      <c r="F20" s="97" t="s">
        <v>633</v>
      </c>
      <c r="G20" s="69">
        <v>2023.0</v>
      </c>
      <c r="H20" s="68" t="s">
        <v>634</v>
      </c>
      <c r="I20" s="97" t="s">
        <v>635</v>
      </c>
      <c r="J20" s="97" t="s">
        <v>542</v>
      </c>
      <c r="K20" s="70"/>
      <c r="L20" s="70"/>
      <c r="M20" s="98"/>
      <c r="N20" s="69">
        <v>1.0</v>
      </c>
      <c r="O20" s="69">
        <v>9.0</v>
      </c>
      <c r="P20" s="98">
        <f t="shared" si="1"/>
        <v>8</v>
      </c>
      <c r="Q20" s="99"/>
      <c r="R20" s="68" t="s">
        <v>636</v>
      </c>
      <c r="S20" s="100" t="s">
        <v>637</v>
      </c>
      <c r="T20" s="101"/>
      <c r="U20" s="68" t="s">
        <v>44</v>
      </c>
      <c r="V20" s="101"/>
      <c r="W20" s="101"/>
      <c r="X20" s="101"/>
    </row>
    <row r="21">
      <c r="A21" s="66"/>
      <c r="B21" s="66"/>
      <c r="C21" s="67" t="s">
        <v>154</v>
      </c>
      <c r="D21" s="67" t="s">
        <v>124</v>
      </c>
      <c r="E21" s="67"/>
      <c r="F21" s="97" t="s">
        <v>638</v>
      </c>
      <c r="G21" s="69">
        <v>2023.0</v>
      </c>
      <c r="H21" s="68" t="s">
        <v>639</v>
      </c>
      <c r="I21" s="97" t="s">
        <v>640</v>
      </c>
      <c r="J21" s="97" t="s">
        <v>542</v>
      </c>
      <c r="K21" s="70"/>
      <c r="L21" s="70"/>
      <c r="M21" s="98"/>
      <c r="N21" s="69">
        <v>1.0</v>
      </c>
      <c r="O21" s="69">
        <v>9.0</v>
      </c>
      <c r="P21" s="98">
        <f t="shared" si="1"/>
        <v>8</v>
      </c>
      <c r="Q21" s="99"/>
      <c r="R21" s="68" t="s">
        <v>641</v>
      </c>
      <c r="S21" s="100" t="s">
        <v>642</v>
      </c>
      <c r="T21" s="101"/>
      <c r="U21" s="68" t="s">
        <v>44</v>
      </c>
      <c r="V21" s="101"/>
      <c r="W21" s="101"/>
      <c r="X21" s="101"/>
    </row>
    <row r="22">
      <c r="A22" s="66"/>
      <c r="B22" s="102"/>
      <c r="C22" s="67" t="s">
        <v>154</v>
      </c>
      <c r="D22" s="67" t="s">
        <v>124</v>
      </c>
      <c r="E22" s="67"/>
      <c r="F22" s="97" t="s">
        <v>643</v>
      </c>
      <c r="G22" s="69">
        <v>2025.0</v>
      </c>
      <c r="H22" s="68" t="s">
        <v>644</v>
      </c>
      <c r="I22" s="97" t="s">
        <v>645</v>
      </c>
      <c r="J22" s="97" t="s">
        <v>646</v>
      </c>
      <c r="K22" s="70"/>
      <c r="L22" s="70"/>
      <c r="M22" s="98"/>
      <c r="N22" s="69">
        <v>1.0</v>
      </c>
      <c r="O22" s="69">
        <v>6.0</v>
      </c>
      <c r="P22" s="98">
        <f t="shared" si="1"/>
        <v>5</v>
      </c>
      <c r="Q22" s="99"/>
      <c r="R22" s="68" t="s">
        <v>647</v>
      </c>
      <c r="S22" s="100" t="s">
        <v>648</v>
      </c>
      <c r="T22" s="101"/>
      <c r="U22" s="68" t="s">
        <v>44</v>
      </c>
      <c r="V22" s="101"/>
      <c r="W22" s="101"/>
      <c r="X22" s="101"/>
    </row>
    <row r="23">
      <c r="A23" s="66"/>
      <c r="B23" s="102"/>
      <c r="C23" s="67" t="s">
        <v>124</v>
      </c>
      <c r="D23" s="67"/>
      <c r="E23" s="67"/>
      <c r="F23" s="97" t="s">
        <v>649</v>
      </c>
      <c r="G23" s="69">
        <v>2024.0</v>
      </c>
      <c r="H23" s="68" t="s">
        <v>650</v>
      </c>
      <c r="I23" s="97" t="s">
        <v>651</v>
      </c>
      <c r="J23" s="97" t="s">
        <v>652</v>
      </c>
      <c r="K23" s="70"/>
      <c r="L23" s="70"/>
      <c r="M23" s="98"/>
      <c r="N23" s="69">
        <v>1.0</v>
      </c>
      <c r="O23" s="69">
        <v>6.0</v>
      </c>
      <c r="P23" s="98">
        <f t="shared" si="1"/>
        <v>5</v>
      </c>
      <c r="Q23" s="99"/>
      <c r="R23" s="68" t="s">
        <v>653</v>
      </c>
      <c r="S23" s="100" t="s">
        <v>654</v>
      </c>
      <c r="T23" s="101"/>
      <c r="U23" s="68" t="s">
        <v>44</v>
      </c>
      <c r="V23" s="101"/>
      <c r="W23" s="101"/>
      <c r="X23" s="101"/>
    </row>
    <row r="24">
      <c r="A24" s="66"/>
      <c r="B24" s="66"/>
      <c r="C24" s="67" t="s">
        <v>124</v>
      </c>
      <c r="D24" s="67"/>
      <c r="E24" s="67"/>
      <c r="F24" s="97" t="s">
        <v>655</v>
      </c>
      <c r="G24" s="69">
        <v>2021.0</v>
      </c>
      <c r="H24" s="68" t="s">
        <v>656</v>
      </c>
      <c r="I24" s="97" t="s">
        <v>657</v>
      </c>
      <c r="J24" s="97" t="s">
        <v>658</v>
      </c>
      <c r="K24" s="70"/>
      <c r="L24" s="70"/>
      <c r="M24" s="98"/>
      <c r="N24" s="69">
        <v>1.0</v>
      </c>
      <c r="O24" s="69">
        <v>8.0</v>
      </c>
      <c r="P24" s="98">
        <f t="shared" si="1"/>
        <v>7</v>
      </c>
      <c r="Q24" s="99"/>
      <c r="R24" s="68" t="s">
        <v>659</v>
      </c>
      <c r="S24" s="100" t="s">
        <v>660</v>
      </c>
      <c r="T24" s="101"/>
      <c r="U24" s="68" t="s">
        <v>44</v>
      </c>
      <c r="V24" s="101"/>
      <c r="W24" s="101"/>
      <c r="X24" s="101"/>
    </row>
    <row r="25">
      <c r="A25" s="66"/>
      <c r="B25" s="66"/>
      <c r="C25" s="67" t="s">
        <v>124</v>
      </c>
      <c r="D25" s="67"/>
      <c r="E25" s="67"/>
      <c r="F25" s="97" t="s">
        <v>661</v>
      </c>
      <c r="G25" s="69">
        <v>2024.0</v>
      </c>
      <c r="H25" s="68" t="s">
        <v>662</v>
      </c>
      <c r="I25" s="97" t="s">
        <v>663</v>
      </c>
      <c r="J25" s="97" t="s">
        <v>664</v>
      </c>
      <c r="K25" s="69">
        <v>17.0</v>
      </c>
      <c r="L25" s="70"/>
      <c r="M25" s="98"/>
      <c r="N25" s="69">
        <v>2025.0</v>
      </c>
      <c r="O25" s="69">
        <v>2036.0</v>
      </c>
      <c r="P25" s="98">
        <f t="shared" si="1"/>
        <v>11</v>
      </c>
      <c r="Q25" s="99"/>
      <c r="R25" s="68" t="s">
        <v>665</v>
      </c>
      <c r="S25" s="100" t="s">
        <v>666</v>
      </c>
      <c r="T25" s="101"/>
      <c r="U25" s="68" t="s">
        <v>57</v>
      </c>
      <c r="V25" s="101"/>
      <c r="W25" s="101"/>
      <c r="X25" s="101"/>
    </row>
    <row r="26">
      <c r="A26" s="66"/>
      <c r="B26" s="102"/>
      <c r="C26" s="67" t="s">
        <v>124</v>
      </c>
      <c r="D26" s="67"/>
      <c r="E26" s="67"/>
      <c r="F26" s="97" t="s">
        <v>667</v>
      </c>
      <c r="G26" s="69">
        <v>2022.0</v>
      </c>
      <c r="H26" s="68" t="s">
        <v>668</v>
      </c>
      <c r="I26" s="97" t="s">
        <v>669</v>
      </c>
      <c r="J26" s="97" t="s">
        <v>670</v>
      </c>
      <c r="K26" s="70"/>
      <c r="L26" s="70"/>
      <c r="M26" s="98"/>
      <c r="N26" s="69">
        <v>1.0</v>
      </c>
      <c r="O26" s="69">
        <v>5.0</v>
      </c>
      <c r="P26" s="98">
        <f t="shared" si="1"/>
        <v>4</v>
      </c>
      <c r="Q26" s="99"/>
      <c r="R26" s="68" t="s">
        <v>671</v>
      </c>
      <c r="S26" s="100" t="s">
        <v>672</v>
      </c>
      <c r="T26" s="101"/>
      <c r="U26" s="68" t="s">
        <v>44</v>
      </c>
      <c r="V26" s="101"/>
      <c r="W26" s="101"/>
      <c r="X26" s="101"/>
    </row>
    <row r="27">
      <c r="A27" s="66"/>
      <c r="B27" s="102"/>
      <c r="C27" s="67" t="s">
        <v>124</v>
      </c>
      <c r="D27" s="67"/>
      <c r="E27" s="67"/>
      <c r="F27" s="97" t="s">
        <v>673</v>
      </c>
      <c r="G27" s="69">
        <v>2024.0</v>
      </c>
      <c r="H27" s="68" t="s">
        <v>674</v>
      </c>
      <c r="I27" s="97" t="s">
        <v>675</v>
      </c>
      <c r="J27" s="97" t="s">
        <v>676</v>
      </c>
      <c r="K27" s="70"/>
      <c r="L27" s="70"/>
      <c r="M27" s="98"/>
      <c r="N27" s="69">
        <v>1.0</v>
      </c>
      <c r="O27" s="69">
        <v>7.0</v>
      </c>
      <c r="P27" s="98">
        <f t="shared" si="1"/>
        <v>6</v>
      </c>
      <c r="Q27" s="99"/>
      <c r="R27" s="68" t="s">
        <v>677</v>
      </c>
      <c r="S27" s="100" t="s">
        <v>678</v>
      </c>
      <c r="T27" s="101"/>
      <c r="U27" s="68" t="s">
        <v>44</v>
      </c>
      <c r="V27" s="101"/>
      <c r="W27" s="101"/>
      <c r="X27" s="101"/>
    </row>
    <row r="28">
      <c r="A28" s="66"/>
      <c r="B28" s="66"/>
      <c r="C28" s="67" t="s">
        <v>154</v>
      </c>
      <c r="D28" s="67" t="s">
        <v>124</v>
      </c>
      <c r="E28" s="67"/>
      <c r="F28" s="97" t="s">
        <v>679</v>
      </c>
      <c r="G28" s="69">
        <v>2022.0</v>
      </c>
      <c r="H28" s="68" t="s">
        <v>680</v>
      </c>
      <c r="I28" s="97" t="s">
        <v>681</v>
      </c>
      <c r="J28" s="97" t="s">
        <v>682</v>
      </c>
      <c r="K28" s="70"/>
      <c r="L28" s="70"/>
      <c r="M28" s="98"/>
      <c r="N28" s="69">
        <v>1.0</v>
      </c>
      <c r="O28" s="69">
        <v>4.0</v>
      </c>
      <c r="P28" s="98">
        <f t="shared" si="1"/>
        <v>3</v>
      </c>
      <c r="Q28" s="99"/>
      <c r="R28" s="68" t="s">
        <v>683</v>
      </c>
      <c r="S28" s="100" t="s">
        <v>684</v>
      </c>
      <c r="T28" s="101"/>
      <c r="U28" s="68" t="s">
        <v>44</v>
      </c>
      <c r="V28" s="101"/>
      <c r="W28" s="101"/>
      <c r="X28" s="101"/>
    </row>
    <row r="29">
      <c r="A29" s="66"/>
      <c r="B29" s="66"/>
      <c r="C29" s="67" t="s">
        <v>154</v>
      </c>
      <c r="D29" s="67" t="s">
        <v>124</v>
      </c>
      <c r="E29" s="67"/>
      <c r="F29" s="97" t="s">
        <v>685</v>
      </c>
      <c r="G29" s="69">
        <v>2020.0</v>
      </c>
      <c r="H29" s="68" t="s">
        <v>686</v>
      </c>
      <c r="I29" s="97" t="s">
        <v>687</v>
      </c>
      <c r="J29" s="97" t="s">
        <v>688</v>
      </c>
      <c r="K29" s="70"/>
      <c r="L29" s="70"/>
      <c r="M29" s="98"/>
      <c r="N29" s="69">
        <v>1.0</v>
      </c>
      <c r="O29" s="69">
        <v>9.0</v>
      </c>
      <c r="P29" s="98">
        <f t="shared" si="1"/>
        <v>8</v>
      </c>
      <c r="Q29" s="99"/>
      <c r="R29" s="68" t="s">
        <v>689</v>
      </c>
      <c r="S29" s="100" t="s">
        <v>690</v>
      </c>
      <c r="T29" s="101"/>
      <c r="U29" s="68" t="s">
        <v>44</v>
      </c>
      <c r="V29" s="101"/>
      <c r="W29" s="101"/>
      <c r="X29" s="101"/>
    </row>
    <row r="30">
      <c r="A30" s="66"/>
      <c r="B30" s="66"/>
      <c r="C30" s="67" t="s">
        <v>124</v>
      </c>
      <c r="D30" s="67"/>
      <c r="E30" s="67"/>
      <c r="F30" s="97" t="s">
        <v>691</v>
      </c>
      <c r="G30" s="69">
        <v>2024.0</v>
      </c>
      <c r="H30" s="68" t="s">
        <v>692</v>
      </c>
      <c r="I30" s="97" t="s">
        <v>693</v>
      </c>
      <c r="J30" s="97" t="s">
        <v>694</v>
      </c>
      <c r="K30" s="70"/>
      <c r="L30" s="70"/>
      <c r="M30" s="98"/>
      <c r="N30" s="69">
        <v>1.0</v>
      </c>
      <c r="O30" s="69">
        <v>6.0</v>
      </c>
      <c r="P30" s="98">
        <f t="shared" si="1"/>
        <v>5</v>
      </c>
      <c r="Q30" s="99"/>
      <c r="R30" s="68" t="s">
        <v>695</v>
      </c>
      <c r="S30" s="100" t="s">
        <v>696</v>
      </c>
      <c r="T30" s="101"/>
      <c r="U30" s="68" t="s">
        <v>44</v>
      </c>
      <c r="V30" s="101"/>
      <c r="W30" s="101"/>
      <c r="X30" s="101"/>
    </row>
    <row r="31">
      <c r="A31" s="66"/>
      <c r="B31" s="66"/>
      <c r="C31" s="67" t="s">
        <v>154</v>
      </c>
      <c r="D31" s="67" t="s">
        <v>124</v>
      </c>
      <c r="E31" s="67"/>
      <c r="F31" s="97" t="s">
        <v>697</v>
      </c>
      <c r="G31" s="69">
        <v>2024.0</v>
      </c>
      <c r="H31" s="68" t="s">
        <v>698</v>
      </c>
      <c r="I31" s="97" t="s">
        <v>699</v>
      </c>
      <c r="J31" s="97" t="s">
        <v>700</v>
      </c>
      <c r="K31" s="70"/>
      <c r="L31" s="70"/>
      <c r="M31" s="98"/>
      <c r="N31" s="69">
        <v>1.0</v>
      </c>
      <c r="O31" s="69">
        <v>5.0</v>
      </c>
      <c r="P31" s="98">
        <f t="shared" si="1"/>
        <v>4</v>
      </c>
      <c r="Q31" s="99"/>
      <c r="R31" s="68" t="s">
        <v>701</v>
      </c>
      <c r="S31" s="100" t="s">
        <v>702</v>
      </c>
      <c r="T31" s="101"/>
      <c r="U31" s="68" t="s">
        <v>44</v>
      </c>
      <c r="V31" s="101"/>
      <c r="W31" s="101"/>
      <c r="X31" s="101"/>
    </row>
    <row r="32">
      <c r="A32" s="66"/>
      <c r="B32" s="102"/>
      <c r="C32" s="67" t="s">
        <v>124</v>
      </c>
      <c r="D32" s="67"/>
      <c r="E32" s="67"/>
      <c r="F32" s="97" t="s">
        <v>703</v>
      </c>
      <c r="G32" s="69">
        <v>2021.0</v>
      </c>
      <c r="H32" s="68" t="s">
        <v>704</v>
      </c>
      <c r="I32" s="97" t="s">
        <v>705</v>
      </c>
      <c r="J32" s="97" t="s">
        <v>706</v>
      </c>
      <c r="K32" s="70"/>
      <c r="L32" s="70"/>
      <c r="M32" s="98"/>
      <c r="N32" s="69">
        <v>1.0</v>
      </c>
      <c r="O32" s="69">
        <v>8.0</v>
      </c>
      <c r="P32" s="98">
        <f t="shared" si="1"/>
        <v>7</v>
      </c>
      <c r="Q32" s="99"/>
      <c r="R32" s="68" t="s">
        <v>707</v>
      </c>
      <c r="S32" s="100" t="s">
        <v>708</v>
      </c>
      <c r="T32" s="101"/>
      <c r="U32" s="68" t="s">
        <v>44</v>
      </c>
      <c r="V32" s="101"/>
      <c r="W32" s="101"/>
      <c r="X32" s="101"/>
    </row>
    <row r="33">
      <c r="A33" s="66"/>
      <c r="B33" s="66"/>
      <c r="C33" s="67" t="s">
        <v>124</v>
      </c>
      <c r="D33" s="67"/>
      <c r="E33" s="67"/>
      <c r="F33" s="97" t="s">
        <v>709</v>
      </c>
      <c r="G33" s="69">
        <v>2021.0</v>
      </c>
      <c r="H33" s="68" t="s">
        <v>710</v>
      </c>
      <c r="I33" s="97" t="s">
        <v>711</v>
      </c>
      <c r="J33" s="97" t="s">
        <v>712</v>
      </c>
      <c r="K33" s="70"/>
      <c r="L33" s="70"/>
      <c r="M33" s="98"/>
      <c r="N33" s="69">
        <v>996.0</v>
      </c>
      <c r="O33" s="69">
        <v>1002.0</v>
      </c>
      <c r="P33" s="98">
        <f t="shared" si="1"/>
        <v>6</v>
      </c>
      <c r="Q33" s="99"/>
      <c r="R33" s="68" t="s">
        <v>713</v>
      </c>
      <c r="S33" s="100" t="s">
        <v>714</v>
      </c>
      <c r="T33" s="101"/>
      <c r="U33" s="68" t="s">
        <v>44</v>
      </c>
      <c r="V33" s="101"/>
      <c r="W33" s="101"/>
      <c r="X33" s="101"/>
    </row>
    <row r="34">
      <c r="A34" s="66"/>
      <c r="B34" s="102"/>
      <c r="C34" s="67" t="s">
        <v>124</v>
      </c>
      <c r="D34" s="67"/>
      <c r="E34" s="67"/>
      <c r="F34" s="97" t="s">
        <v>715</v>
      </c>
      <c r="G34" s="69">
        <v>2023.0</v>
      </c>
      <c r="H34" s="68" t="s">
        <v>716</v>
      </c>
      <c r="I34" s="97" t="s">
        <v>717</v>
      </c>
      <c r="J34" s="97" t="s">
        <v>542</v>
      </c>
      <c r="K34" s="70"/>
      <c r="L34" s="70"/>
      <c r="M34" s="98"/>
      <c r="N34" s="69">
        <v>1.0</v>
      </c>
      <c r="O34" s="69">
        <v>8.0</v>
      </c>
      <c r="P34" s="98">
        <f t="shared" si="1"/>
        <v>7</v>
      </c>
      <c r="Q34" s="99"/>
      <c r="R34" s="68" t="s">
        <v>718</v>
      </c>
      <c r="S34" s="100" t="s">
        <v>719</v>
      </c>
      <c r="T34" s="101"/>
      <c r="U34" s="68" t="s">
        <v>44</v>
      </c>
      <c r="V34" s="101"/>
      <c r="W34" s="101"/>
      <c r="X34" s="101"/>
    </row>
    <row r="35">
      <c r="A35" s="66"/>
      <c r="B35" s="66"/>
      <c r="C35" s="67" t="s">
        <v>154</v>
      </c>
      <c r="D35" s="67" t="s">
        <v>124</v>
      </c>
      <c r="E35" s="67"/>
      <c r="F35" s="97" t="s">
        <v>720</v>
      </c>
      <c r="G35" s="69">
        <v>2025.0</v>
      </c>
      <c r="H35" s="68" t="s">
        <v>721</v>
      </c>
      <c r="I35" s="97" t="s">
        <v>722</v>
      </c>
      <c r="J35" s="97" t="s">
        <v>723</v>
      </c>
      <c r="K35" s="70"/>
      <c r="L35" s="70"/>
      <c r="M35" s="98"/>
      <c r="N35" s="69">
        <v>1.0</v>
      </c>
      <c r="O35" s="69">
        <v>6.0</v>
      </c>
      <c r="P35" s="98">
        <f t="shared" si="1"/>
        <v>5</v>
      </c>
      <c r="Q35" s="99"/>
      <c r="R35" s="68" t="s">
        <v>724</v>
      </c>
      <c r="S35" s="100" t="s">
        <v>725</v>
      </c>
      <c r="T35" s="101"/>
      <c r="U35" s="68" t="s">
        <v>44</v>
      </c>
      <c r="V35" s="101"/>
      <c r="W35" s="101"/>
      <c r="X35" s="101"/>
    </row>
    <row r="36">
      <c r="A36" s="66"/>
      <c r="B36" s="66"/>
      <c r="C36" s="67" t="s">
        <v>124</v>
      </c>
      <c r="D36" s="67"/>
      <c r="E36" s="67"/>
      <c r="F36" s="97" t="s">
        <v>726</v>
      </c>
      <c r="G36" s="69">
        <v>2024.0</v>
      </c>
      <c r="H36" s="68" t="s">
        <v>727</v>
      </c>
      <c r="I36" s="97" t="s">
        <v>728</v>
      </c>
      <c r="J36" s="97" t="s">
        <v>729</v>
      </c>
      <c r="K36" s="70"/>
      <c r="L36" s="70"/>
      <c r="M36" s="98"/>
      <c r="N36" s="69">
        <v>601.0</v>
      </c>
      <c r="O36" s="69">
        <v>608.0</v>
      </c>
      <c r="P36" s="98">
        <f t="shared" si="1"/>
        <v>7</v>
      </c>
      <c r="Q36" s="99"/>
      <c r="R36" s="68" t="s">
        <v>730</v>
      </c>
      <c r="S36" s="100" t="s">
        <v>731</v>
      </c>
      <c r="T36" s="101"/>
      <c r="U36" s="68" t="s">
        <v>44</v>
      </c>
      <c r="V36" s="101"/>
      <c r="W36" s="101"/>
      <c r="X36" s="101"/>
    </row>
    <row r="37">
      <c r="A37" s="66"/>
      <c r="B37" s="66"/>
      <c r="C37" s="67" t="s">
        <v>124</v>
      </c>
      <c r="D37" s="67"/>
      <c r="E37" s="67"/>
      <c r="F37" s="97" t="s">
        <v>732</v>
      </c>
      <c r="G37" s="69">
        <v>2024.0</v>
      </c>
      <c r="H37" s="68" t="s">
        <v>733</v>
      </c>
      <c r="I37" s="97" t="s">
        <v>734</v>
      </c>
      <c r="J37" s="97" t="s">
        <v>694</v>
      </c>
      <c r="K37" s="70"/>
      <c r="L37" s="70"/>
      <c r="M37" s="98"/>
      <c r="N37" s="69">
        <v>1.0</v>
      </c>
      <c r="O37" s="69">
        <v>9.0</v>
      </c>
      <c r="P37" s="98">
        <f t="shared" si="1"/>
        <v>8</v>
      </c>
      <c r="Q37" s="99"/>
      <c r="R37" s="68" t="s">
        <v>735</v>
      </c>
      <c r="S37" s="100" t="s">
        <v>736</v>
      </c>
      <c r="T37" s="101"/>
      <c r="U37" s="68" t="s">
        <v>44</v>
      </c>
      <c r="V37" s="101"/>
      <c r="W37" s="101"/>
      <c r="X37" s="101"/>
    </row>
    <row r="38">
      <c r="A38" s="66"/>
      <c r="B38" s="102"/>
      <c r="C38" s="67" t="s">
        <v>124</v>
      </c>
      <c r="D38" s="67"/>
      <c r="E38" s="67"/>
      <c r="F38" s="97" t="s">
        <v>737</v>
      </c>
      <c r="G38" s="69">
        <v>2022.0</v>
      </c>
      <c r="H38" s="68" t="s">
        <v>738</v>
      </c>
      <c r="I38" s="97" t="s">
        <v>739</v>
      </c>
      <c r="J38" s="97" t="s">
        <v>740</v>
      </c>
      <c r="K38" s="70"/>
      <c r="L38" s="70"/>
      <c r="M38" s="98"/>
      <c r="N38" s="69">
        <v>123.0</v>
      </c>
      <c r="O38" s="69">
        <v>128.0</v>
      </c>
      <c r="P38" s="98">
        <f t="shared" si="1"/>
        <v>5</v>
      </c>
      <c r="Q38" s="99"/>
      <c r="R38" s="68" t="s">
        <v>741</v>
      </c>
      <c r="S38" s="100" t="s">
        <v>742</v>
      </c>
      <c r="T38" s="101"/>
      <c r="U38" s="68" t="s">
        <v>44</v>
      </c>
      <c r="V38" s="101"/>
      <c r="W38" s="101"/>
      <c r="X38" s="101"/>
    </row>
    <row r="39">
      <c r="A39" s="66"/>
      <c r="B39" s="66"/>
      <c r="C39" s="67" t="s">
        <v>124</v>
      </c>
      <c r="D39" s="67"/>
      <c r="E39" s="67"/>
      <c r="F39" s="97" t="s">
        <v>743</v>
      </c>
      <c r="G39" s="69">
        <v>2020.0</v>
      </c>
      <c r="H39" s="68" t="s">
        <v>744</v>
      </c>
      <c r="I39" s="97" t="s">
        <v>745</v>
      </c>
      <c r="J39" s="97" t="s">
        <v>746</v>
      </c>
      <c r="K39" s="69">
        <v>5.0</v>
      </c>
      <c r="L39" s="69">
        <v>4.0</v>
      </c>
      <c r="M39" s="98"/>
      <c r="N39" s="69">
        <v>6559.0</v>
      </c>
      <c r="O39" s="69">
        <v>6566.0</v>
      </c>
      <c r="P39" s="98">
        <f t="shared" si="1"/>
        <v>7</v>
      </c>
      <c r="Q39" s="99"/>
      <c r="R39" s="68" t="s">
        <v>747</v>
      </c>
      <c r="S39" s="100" t="s">
        <v>748</v>
      </c>
      <c r="T39" s="101"/>
      <c r="U39" s="68" t="s">
        <v>57</v>
      </c>
      <c r="V39" s="101"/>
      <c r="W39" s="101"/>
      <c r="X39" s="101"/>
    </row>
    <row r="40">
      <c r="A40" s="66"/>
      <c r="B40" s="66"/>
      <c r="C40" s="67" t="s">
        <v>124</v>
      </c>
      <c r="D40" s="67"/>
      <c r="E40" s="67"/>
      <c r="F40" s="97" t="s">
        <v>749</v>
      </c>
      <c r="G40" s="69">
        <v>2025.0</v>
      </c>
      <c r="H40" s="68" t="s">
        <v>750</v>
      </c>
      <c r="I40" s="97" t="s">
        <v>751</v>
      </c>
      <c r="J40" s="97" t="s">
        <v>752</v>
      </c>
      <c r="K40" s="69">
        <v>31.0</v>
      </c>
      <c r="L40" s="69">
        <v>1.0</v>
      </c>
      <c r="M40" s="98"/>
      <c r="N40" s="69">
        <v>481.0</v>
      </c>
      <c r="O40" s="69">
        <v>491.0</v>
      </c>
      <c r="P40" s="98">
        <f t="shared" si="1"/>
        <v>10</v>
      </c>
      <c r="Q40" s="99"/>
      <c r="R40" s="68" t="s">
        <v>753</v>
      </c>
      <c r="S40" s="100" t="s">
        <v>754</v>
      </c>
      <c r="T40" s="101"/>
      <c r="U40" s="68" t="s">
        <v>57</v>
      </c>
      <c r="V40" s="101"/>
      <c r="W40" s="101"/>
      <c r="X40" s="101"/>
    </row>
    <row r="41">
      <c r="A41" s="66"/>
      <c r="B41" s="66"/>
      <c r="C41" s="67"/>
      <c r="D41" s="67"/>
      <c r="E41" s="67"/>
      <c r="F41" s="91"/>
      <c r="G41" s="88"/>
      <c r="H41" s="94"/>
      <c r="I41" s="94"/>
      <c r="J41" s="98"/>
      <c r="K41" s="98"/>
      <c r="L41" s="98"/>
      <c r="M41" s="98"/>
      <c r="N41" s="98"/>
      <c r="O41" s="98"/>
      <c r="P41" s="94"/>
      <c r="Q41" s="99"/>
      <c r="R41" s="94"/>
      <c r="S41" s="101"/>
      <c r="T41" s="101"/>
      <c r="U41" s="101"/>
      <c r="V41" s="101"/>
      <c r="W41" s="101"/>
      <c r="X41" s="101"/>
    </row>
    <row r="42">
      <c r="A42" s="66"/>
      <c r="B42" s="102"/>
      <c r="C42" s="67"/>
      <c r="D42" s="67"/>
      <c r="E42" s="67"/>
      <c r="F42" s="91"/>
      <c r="G42" s="88"/>
      <c r="H42" s="94"/>
      <c r="I42" s="94"/>
      <c r="J42" s="98"/>
      <c r="K42" s="98"/>
      <c r="L42" s="98"/>
      <c r="M42" s="98"/>
      <c r="N42" s="98"/>
      <c r="O42" s="98"/>
      <c r="P42" s="94"/>
      <c r="Q42" s="99"/>
      <c r="R42" s="94"/>
      <c r="S42" s="101"/>
      <c r="T42" s="101"/>
      <c r="U42" s="101"/>
      <c r="V42" s="101"/>
      <c r="W42" s="101"/>
      <c r="X42" s="101"/>
    </row>
    <row r="43">
      <c r="A43" s="66"/>
      <c r="B43" s="66"/>
      <c r="C43" s="67"/>
      <c r="D43" s="67"/>
      <c r="E43" s="67"/>
      <c r="F43" s="91"/>
      <c r="G43" s="88"/>
      <c r="H43" s="94"/>
      <c r="I43" s="94"/>
      <c r="J43" s="98"/>
      <c r="K43" s="98"/>
      <c r="L43" s="98"/>
      <c r="M43" s="98"/>
      <c r="N43" s="98"/>
      <c r="O43" s="98"/>
      <c r="P43" s="94"/>
      <c r="Q43" s="99"/>
      <c r="R43" s="94"/>
      <c r="S43" s="101"/>
      <c r="T43" s="101"/>
      <c r="U43" s="101"/>
      <c r="V43" s="101"/>
      <c r="W43" s="101"/>
      <c r="X43" s="101"/>
    </row>
    <row r="44">
      <c r="A44" s="66"/>
      <c r="B44" s="66"/>
      <c r="C44" s="67"/>
      <c r="D44" s="67"/>
      <c r="E44" s="67"/>
      <c r="F44" s="91"/>
      <c r="G44" s="88"/>
      <c r="H44" s="94"/>
      <c r="I44" s="94"/>
      <c r="J44" s="98"/>
      <c r="K44" s="98"/>
      <c r="L44" s="98"/>
      <c r="M44" s="98"/>
      <c r="N44" s="98"/>
      <c r="O44" s="98"/>
      <c r="P44" s="94"/>
      <c r="Q44" s="99"/>
      <c r="R44" s="94"/>
      <c r="S44" s="101"/>
      <c r="T44" s="101"/>
      <c r="U44" s="101"/>
      <c r="V44" s="101"/>
      <c r="W44" s="101"/>
      <c r="X44" s="101"/>
    </row>
    <row r="45">
      <c r="A45" s="66"/>
      <c r="B45" s="102"/>
      <c r="C45" s="67"/>
      <c r="D45" s="67"/>
      <c r="E45" s="67"/>
      <c r="F45" s="91"/>
      <c r="G45" s="88"/>
      <c r="H45" s="94"/>
      <c r="I45" s="94"/>
      <c r="J45" s="98"/>
      <c r="K45" s="98"/>
      <c r="L45" s="98"/>
      <c r="M45" s="98"/>
      <c r="N45" s="98"/>
      <c r="O45" s="98"/>
      <c r="P45" s="94"/>
      <c r="Q45" s="99"/>
      <c r="R45" s="94"/>
      <c r="S45" s="101"/>
      <c r="T45" s="101"/>
      <c r="U45" s="101"/>
      <c r="V45" s="101"/>
      <c r="W45" s="101"/>
      <c r="X45" s="101"/>
    </row>
    <row r="46">
      <c r="A46" s="66"/>
      <c r="B46" s="66"/>
      <c r="C46" s="67"/>
      <c r="D46" s="67"/>
      <c r="E46" s="67"/>
      <c r="F46" s="91"/>
      <c r="G46" s="88"/>
      <c r="H46" s="94"/>
      <c r="I46" s="94"/>
      <c r="J46" s="98"/>
      <c r="K46" s="98"/>
      <c r="L46" s="98"/>
      <c r="M46" s="98"/>
      <c r="N46" s="98"/>
      <c r="O46" s="98"/>
      <c r="P46" s="94"/>
      <c r="Q46" s="99"/>
      <c r="R46" s="94"/>
      <c r="S46" s="101"/>
      <c r="T46" s="101"/>
      <c r="U46" s="101"/>
      <c r="V46" s="101"/>
      <c r="W46" s="101"/>
      <c r="X46" s="101"/>
    </row>
    <row r="47">
      <c r="A47" s="66"/>
      <c r="B47" s="66"/>
      <c r="C47" s="67"/>
      <c r="D47" s="67"/>
      <c r="E47" s="67"/>
      <c r="F47" s="91"/>
      <c r="G47" s="88"/>
      <c r="H47" s="94"/>
      <c r="I47" s="94"/>
      <c r="J47" s="98"/>
      <c r="K47" s="98"/>
      <c r="L47" s="98"/>
      <c r="M47" s="98"/>
      <c r="N47" s="98"/>
      <c r="O47" s="98"/>
      <c r="P47" s="94"/>
      <c r="Q47" s="99"/>
      <c r="R47" s="94"/>
      <c r="S47" s="101"/>
      <c r="T47" s="101"/>
      <c r="U47" s="101"/>
      <c r="V47" s="101"/>
      <c r="W47" s="101"/>
      <c r="X47" s="101"/>
    </row>
    <row r="48">
      <c r="A48" s="66"/>
      <c r="B48" s="66"/>
      <c r="C48" s="67"/>
      <c r="D48" s="67"/>
      <c r="E48" s="67"/>
      <c r="F48" s="91"/>
      <c r="G48" s="88"/>
      <c r="H48" s="94"/>
      <c r="I48" s="94"/>
      <c r="J48" s="98"/>
      <c r="K48" s="98"/>
      <c r="L48" s="98"/>
      <c r="M48" s="98"/>
      <c r="N48" s="98"/>
      <c r="O48" s="98"/>
      <c r="P48" s="94"/>
      <c r="Q48" s="99"/>
      <c r="R48" s="94"/>
      <c r="S48" s="101"/>
      <c r="T48" s="101"/>
      <c r="U48" s="101"/>
      <c r="V48" s="101"/>
      <c r="W48" s="101"/>
      <c r="X48" s="101"/>
    </row>
    <row r="49">
      <c r="A49" s="66"/>
      <c r="B49" s="66"/>
      <c r="C49" s="67"/>
      <c r="D49" s="67"/>
      <c r="E49" s="67"/>
      <c r="F49" s="91"/>
      <c r="G49" s="88"/>
      <c r="H49" s="94"/>
      <c r="I49" s="94"/>
      <c r="J49" s="98"/>
      <c r="K49" s="98"/>
      <c r="L49" s="98"/>
      <c r="M49" s="98"/>
      <c r="N49" s="98"/>
      <c r="O49" s="98"/>
      <c r="P49" s="94"/>
      <c r="Q49" s="99"/>
      <c r="R49" s="94"/>
      <c r="S49" s="101"/>
      <c r="T49" s="101"/>
      <c r="U49" s="101"/>
      <c r="V49" s="101"/>
      <c r="W49" s="101"/>
      <c r="X49" s="101"/>
    </row>
    <row r="50">
      <c r="A50" s="66"/>
      <c r="B50" s="66"/>
      <c r="C50" s="67"/>
      <c r="D50" s="67"/>
      <c r="E50" s="67"/>
      <c r="F50" s="91"/>
      <c r="G50" s="88"/>
      <c r="H50" s="94"/>
      <c r="I50" s="94"/>
      <c r="J50" s="98"/>
      <c r="K50" s="98"/>
      <c r="L50" s="98"/>
      <c r="M50" s="98"/>
      <c r="N50" s="98"/>
      <c r="O50" s="98"/>
      <c r="P50" s="94"/>
      <c r="Q50" s="99"/>
      <c r="R50" s="94"/>
      <c r="S50" s="101"/>
      <c r="T50" s="101"/>
      <c r="U50" s="101"/>
      <c r="V50" s="101"/>
      <c r="W50" s="101"/>
      <c r="X50" s="101"/>
    </row>
    <row r="51">
      <c r="A51" s="66"/>
      <c r="B51" s="66"/>
      <c r="C51" s="67"/>
      <c r="D51" s="67"/>
      <c r="E51" s="67"/>
      <c r="F51" s="91"/>
      <c r="G51" s="88"/>
      <c r="H51" s="94"/>
      <c r="I51" s="94"/>
      <c r="J51" s="98"/>
      <c r="K51" s="98"/>
      <c r="L51" s="98"/>
      <c r="M51" s="98"/>
      <c r="N51" s="98"/>
      <c r="O51" s="98"/>
      <c r="P51" s="94"/>
      <c r="Q51" s="99"/>
      <c r="R51" s="94"/>
      <c r="S51" s="101"/>
      <c r="T51" s="101"/>
      <c r="U51" s="101"/>
      <c r="V51" s="101"/>
      <c r="W51" s="101"/>
      <c r="X51" s="101"/>
    </row>
    <row r="52">
      <c r="A52" s="66"/>
      <c r="B52" s="102"/>
      <c r="C52" s="67"/>
      <c r="D52" s="67"/>
      <c r="E52" s="67"/>
      <c r="F52" s="91"/>
      <c r="G52" s="88"/>
      <c r="H52" s="94"/>
      <c r="I52" s="94"/>
      <c r="J52" s="98"/>
      <c r="K52" s="98"/>
      <c r="L52" s="98"/>
      <c r="M52" s="98"/>
      <c r="N52" s="98"/>
      <c r="O52" s="98"/>
      <c r="P52" s="94"/>
      <c r="Q52" s="99"/>
      <c r="R52" s="94"/>
      <c r="S52" s="101"/>
      <c r="T52" s="101"/>
      <c r="U52" s="101"/>
      <c r="V52" s="101"/>
      <c r="W52" s="101"/>
      <c r="X52" s="101"/>
    </row>
    <row r="53">
      <c r="A53" s="66"/>
      <c r="B53" s="66"/>
      <c r="C53" s="67"/>
      <c r="D53" s="67"/>
      <c r="E53" s="67"/>
      <c r="F53" s="91"/>
      <c r="G53" s="88"/>
      <c r="H53" s="94"/>
      <c r="I53" s="94"/>
      <c r="J53" s="98"/>
      <c r="K53" s="98"/>
      <c r="L53" s="98"/>
      <c r="M53" s="98"/>
      <c r="N53" s="98"/>
      <c r="O53" s="98"/>
      <c r="P53" s="94"/>
      <c r="Q53" s="99"/>
      <c r="R53" s="94"/>
      <c r="S53" s="101"/>
      <c r="T53" s="101"/>
      <c r="U53" s="101"/>
      <c r="V53" s="101"/>
      <c r="W53" s="101"/>
      <c r="X53" s="101"/>
    </row>
    <row r="54">
      <c r="A54" s="66"/>
      <c r="B54" s="102"/>
      <c r="C54" s="67"/>
      <c r="D54" s="67"/>
      <c r="E54" s="67"/>
      <c r="F54" s="91"/>
      <c r="G54" s="88"/>
      <c r="H54" s="94"/>
      <c r="I54" s="94"/>
      <c r="J54" s="98"/>
      <c r="K54" s="98"/>
      <c r="L54" s="98"/>
      <c r="M54" s="98"/>
      <c r="N54" s="98"/>
      <c r="O54" s="98"/>
      <c r="P54" s="94"/>
      <c r="Q54" s="99"/>
      <c r="R54" s="94"/>
      <c r="S54" s="101"/>
      <c r="T54" s="101"/>
      <c r="U54" s="101"/>
      <c r="V54" s="101"/>
      <c r="W54" s="101"/>
      <c r="X54" s="101"/>
    </row>
    <row r="55">
      <c r="A55" s="66"/>
      <c r="B55" s="66"/>
      <c r="C55" s="67"/>
      <c r="D55" s="67"/>
      <c r="E55" s="67"/>
      <c r="F55" s="91"/>
      <c r="G55" s="88"/>
      <c r="H55" s="94"/>
      <c r="I55" s="94"/>
      <c r="J55" s="98"/>
      <c r="K55" s="98"/>
      <c r="L55" s="98"/>
      <c r="M55" s="98"/>
      <c r="N55" s="98"/>
      <c r="O55" s="98"/>
      <c r="P55" s="94"/>
      <c r="Q55" s="99"/>
      <c r="R55" s="94"/>
      <c r="S55" s="101"/>
      <c r="T55" s="101"/>
      <c r="U55" s="101"/>
      <c r="V55" s="101"/>
      <c r="W55" s="101"/>
      <c r="X55" s="101"/>
    </row>
    <row r="56">
      <c r="A56" s="66"/>
      <c r="B56" s="66"/>
      <c r="C56" s="67"/>
      <c r="D56" s="67"/>
      <c r="E56" s="67"/>
      <c r="F56" s="91"/>
      <c r="G56" s="88"/>
      <c r="H56" s="94"/>
      <c r="I56" s="94"/>
      <c r="J56" s="98"/>
      <c r="K56" s="98"/>
      <c r="L56" s="98"/>
      <c r="M56" s="98"/>
      <c r="N56" s="98"/>
      <c r="O56" s="98"/>
      <c r="P56" s="94"/>
      <c r="Q56" s="99"/>
      <c r="R56" s="94"/>
      <c r="S56" s="101"/>
      <c r="T56" s="101"/>
      <c r="U56" s="101"/>
      <c r="V56" s="101"/>
      <c r="W56" s="101"/>
      <c r="X56" s="101"/>
    </row>
    <row r="57">
      <c r="A57" s="66"/>
      <c r="B57" s="66"/>
      <c r="C57" s="67"/>
      <c r="D57" s="67"/>
      <c r="E57" s="67"/>
      <c r="F57" s="91"/>
      <c r="G57" s="88"/>
      <c r="H57" s="94"/>
      <c r="I57" s="94"/>
      <c r="J57" s="98"/>
      <c r="K57" s="98"/>
      <c r="L57" s="98"/>
      <c r="M57" s="98"/>
      <c r="N57" s="98"/>
      <c r="O57" s="98"/>
      <c r="P57" s="94"/>
      <c r="Q57" s="99"/>
      <c r="R57" s="94"/>
      <c r="S57" s="101"/>
      <c r="T57" s="101"/>
      <c r="U57" s="101"/>
      <c r="V57" s="101"/>
      <c r="W57" s="101"/>
      <c r="X57" s="101"/>
    </row>
    <row r="58">
      <c r="A58" s="66"/>
      <c r="B58" s="66"/>
      <c r="C58" s="67"/>
      <c r="D58" s="67"/>
      <c r="E58" s="67"/>
      <c r="F58" s="91"/>
      <c r="G58" s="88"/>
      <c r="H58" s="94"/>
      <c r="I58" s="94"/>
      <c r="J58" s="98"/>
      <c r="K58" s="98"/>
      <c r="L58" s="104"/>
      <c r="M58" s="98"/>
      <c r="N58" s="98"/>
      <c r="O58" s="98"/>
      <c r="P58" s="94"/>
      <c r="Q58" s="99"/>
      <c r="R58" s="94"/>
      <c r="S58" s="101"/>
      <c r="T58" s="101"/>
      <c r="U58" s="101"/>
      <c r="V58" s="101"/>
      <c r="W58" s="101"/>
      <c r="X58" s="101"/>
    </row>
    <row r="59">
      <c r="A59" s="66"/>
      <c r="B59" s="66"/>
      <c r="C59" s="67"/>
      <c r="D59" s="67"/>
      <c r="E59" s="67"/>
      <c r="F59" s="91"/>
      <c r="G59" s="88"/>
      <c r="H59" s="94"/>
      <c r="I59" s="94"/>
      <c r="J59" s="98"/>
      <c r="K59" s="98"/>
      <c r="L59" s="98"/>
      <c r="M59" s="98"/>
      <c r="N59" s="98"/>
      <c r="O59" s="98"/>
      <c r="P59" s="94"/>
      <c r="Q59" s="99"/>
      <c r="R59" s="94"/>
      <c r="S59" s="101"/>
      <c r="T59" s="101"/>
      <c r="U59" s="101"/>
      <c r="V59" s="101"/>
      <c r="W59" s="101"/>
      <c r="X59" s="101"/>
    </row>
    <row r="60">
      <c r="A60" s="66"/>
      <c r="B60" s="66"/>
      <c r="C60" s="67"/>
      <c r="D60" s="67"/>
      <c r="E60" s="67"/>
      <c r="F60" s="91"/>
      <c r="G60" s="88"/>
      <c r="H60" s="94"/>
      <c r="I60" s="94"/>
      <c r="J60" s="98"/>
      <c r="K60" s="98"/>
      <c r="L60" s="98"/>
      <c r="M60" s="98"/>
      <c r="N60" s="98"/>
      <c r="O60" s="98"/>
      <c r="P60" s="94"/>
      <c r="Q60" s="99"/>
      <c r="R60" s="94"/>
      <c r="S60" s="101"/>
      <c r="T60" s="101"/>
      <c r="U60" s="101"/>
      <c r="V60" s="101"/>
      <c r="W60" s="101"/>
      <c r="X60" s="101"/>
    </row>
    <row r="61">
      <c r="A61" s="66"/>
      <c r="B61" s="66"/>
      <c r="C61" s="67"/>
      <c r="D61" s="67"/>
      <c r="E61" s="67"/>
      <c r="F61" s="91"/>
      <c r="G61" s="88"/>
      <c r="H61" s="94"/>
      <c r="I61" s="94"/>
      <c r="J61" s="98"/>
      <c r="K61" s="98"/>
      <c r="L61" s="98"/>
      <c r="M61" s="98"/>
      <c r="N61" s="98"/>
      <c r="O61" s="98"/>
      <c r="P61" s="94"/>
      <c r="Q61" s="99"/>
      <c r="R61" s="94"/>
      <c r="S61" s="101"/>
      <c r="T61" s="101"/>
      <c r="U61" s="101"/>
      <c r="V61" s="101"/>
      <c r="W61" s="101"/>
      <c r="X61" s="101"/>
    </row>
    <row r="62">
      <c r="A62" s="66"/>
      <c r="B62" s="66"/>
      <c r="C62" s="67"/>
      <c r="D62" s="67"/>
      <c r="E62" s="67"/>
      <c r="F62" s="91"/>
      <c r="G62" s="88"/>
      <c r="H62" s="94"/>
      <c r="I62" s="94"/>
      <c r="J62" s="98"/>
      <c r="K62" s="98"/>
      <c r="L62" s="98"/>
      <c r="M62" s="98"/>
      <c r="N62" s="98"/>
      <c r="O62" s="98"/>
      <c r="P62" s="94"/>
      <c r="Q62" s="99"/>
      <c r="R62" s="94"/>
      <c r="S62" s="101"/>
      <c r="T62" s="101"/>
      <c r="U62" s="101"/>
      <c r="V62" s="101"/>
      <c r="W62" s="101"/>
      <c r="X62" s="101"/>
    </row>
    <row r="63">
      <c r="A63" s="66"/>
      <c r="B63" s="102"/>
      <c r="C63" s="67"/>
      <c r="D63" s="67"/>
      <c r="E63" s="67"/>
      <c r="F63" s="91"/>
      <c r="G63" s="88"/>
      <c r="H63" s="94"/>
      <c r="I63" s="94"/>
      <c r="J63" s="98"/>
      <c r="K63" s="98"/>
      <c r="L63" s="98"/>
      <c r="M63" s="98"/>
      <c r="N63" s="98"/>
      <c r="O63" s="98"/>
      <c r="P63" s="94"/>
      <c r="Q63" s="99"/>
      <c r="R63" s="94"/>
      <c r="S63" s="101"/>
      <c r="T63" s="101"/>
      <c r="U63" s="101"/>
      <c r="V63" s="101"/>
      <c r="W63" s="101"/>
      <c r="X63" s="101"/>
    </row>
    <row r="64">
      <c r="A64" s="66"/>
      <c r="B64" s="102"/>
      <c r="C64" s="67"/>
      <c r="D64" s="67"/>
      <c r="E64" s="67"/>
      <c r="F64" s="91"/>
      <c r="G64" s="88"/>
      <c r="H64" s="94"/>
      <c r="I64" s="94"/>
      <c r="J64" s="98"/>
      <c r="K64" s="98"/>
      <c r="L64" s="98"/>
      <c r="M64" s="98"/>
      <c r="N64" s="98"/>
      <c r="O64" s="98"/>
      <c r="P64" s="94"/>
      <c r="Q64" s="99"/>
      <c r="R64" s="94"/>
      <c r="S64" s="101"/>
      <c r="T64" s="101"/>
      <c r="U64" s="101"/>
      <c r="V64" s="101"/>
      <c r="W64" s="101"/>
      <c r="X64" s="101"/>
    </row>
    <row r="65">
      <c r="A65" s="66"/>
      <c r="B65" s="66"/>
      <c r="C65" s="67"/>
      <c r="D65" s="67"/>
      <c r="E65" s="67"/>
      <c r="F65" s="91"/>
      <c r="G65" s="88"/>
      <c r="H65" s="94"/>
      <c r="I65" s="94"/>
      <c r="J65" s="98"/>
      <c r="K65" s="98"/>
      <c r="L65" s="98"/>
      <c r="M65" s="98"/>
      <c r="N65" s="98"/>
      <c r="O65" s="98"/>
      <c r="P65" s="94"/>
      <c r="Q65" s="99"/>
      <c r="R65" s="94"/>
      <c r="S65" s="101"/>
      <c r="T65" s="101"/>
      <c r="U65" s="101"/>
      <c r="V65" s="101"/>
      <c r="W65" s="101"/>
      <c r="X65" s="101"/>
    </row>
    <row r="66">
      <c r="A66" s="66"/>
      <c r="B66" s="66"/>
      <c r="C66" s="67"/>
      <c r="D66" s="67"/>
      <c r="E66" s="67"/>
      <c r="F66" s="91"/>
      <c r="G66" s="88"/>
      <c r="H66" s="94"/>
      <c r="I66" s="94"/>
      <c r="J66" s="98"/>
      <c r="K66" s="98"/>
      <c r="L66" s="98"/>
      <c r="M66" s="98"/>
      <c r="N66" s="98"/>
      <c r="O66" s="98"/>
      <c r="P66" s="94"/>
      <c r="Q66" s="99"/>
      <c r="R66" s="94"/>
      <c r="S66" s="101"/>
      <c r="T66" s="101"/>
      <c r="U66" s="101"/>
      <c r="V66" s="101"/>
      <c r="W66" s="101"/>
      <c r="X66" s="101"/>
    </row>
    <row r="67">
      <c r="A67" s="66"/>
      <c r="B67" s="66"/>
      <c r="C67" s="67"/>
      <c r="D67" s="67"/>
      <c r="E67" s="67"/>
      <c r="F67" s="91"/>
      <c r="G67" s="88"/>
      <c r="H67" s="94"/>
      <c r="I67" s="94"/>
      <c r="J67" s="98"/>
      <c r="K67" s="98"/>
      <c r="L67" s="98"/>
      <c r="M67" s="98"/>
      <c r="N67" s="98"/>
      <c r="O67" s="98"/>
      <c r="P67" s="94"/>
      <c r="Q67" s="99"/>
      <c r="R67" s="94"/>
      <c r="S67" s="101"/>
      <c r="T67" s="101"/>
      <c r="U67" s="101"/>
      <c r="V67" s="101"/>
      <c r="W67" s="101"/>
      <c r="X67" s="101"/>
    </row>
    <row r="68">
      <c r="A68" s="66"/>
      <c r="B68" s="102"/>
      <c r="C68" s="67"/>
      <c r="D68" s="67"/>
      <c r="E68" s="67"/>
      <c r="F68" s="91"/>
      <c r="G68" s="88"/>
      <c r="H68" s="94"/>
      <c r="I68" s="94"/>
      <c r="J68" s="98"/>
      <c r="K68" s="98"/>
      <c r="L68" s="98"/>
      <c r="M68" s="98"/>
      <c r="N68" s="98"/>
      <c r="O68" s="98"/>
      <c r="P68" s="94"/>
      <c r="Q68" s="99"/>
      <c r="R68" s="94"/>
      <c r="S68" s="101"/>
      <c r="T68" s="101"/>
      <c r="U68" s="101"/>
      <c r="V68" s="101"/>
      <c r="W68" s="101"/>
      <c r="X68" s="101"/>
    </row>
    <row r="69">
      <c r="A69" s="66"/>
      <c r="B69" s="66"/>
      <c r="C69" s="67"/>
      <c r="D69" s="67"/>
      <c r="E69" s="67"/>
      <c r="F69" s="91"/>
      <c r="G69" s="88"/>
      <c r="H69" s="94"/>
      <c r="I69" s="94"/>
      <c r="J69" s="98"/>
      <c r="K69" s="98"/>
      <c r="L69" s="98"/>
      <c r="M69" s="98"/>
      <c r="N69" s="98"/>
      <c r="O69" s="98"/>
      <c r="P69" s="94"/>
      <c r="Q69" s="99"/>
      <c r="R69" s="94"/>
      <c r="S69" s="101"/>
      <c r="T69" s="101"/>
      <c r="U69" s="101"/>
      <c r="V69" s="101"/>
      <c r="W69" s="101"/>
      <c r="X69" s="101"/>
    </row>
    <row r="70">
      <c r="A70" s="66"/>
      <c r="B70" s="66"/>
      <c r="C70" s="67"/>
      <c r="D70" s="67"/>
      <c r="E70" s="67"/>
      <c r="F70" s="91"/>
      <c r="G70" s="88"/>
      <c r="H70" s="94"/>
      <c r="I70" s="94"/>
      <c r="J70" s="98"/>
      <c r="K70" s="98"/>
      <c r="L70" s="98"/>
      <c r="M70" s="98"/>
      <c r="N70" s="98"/>
      <c r="O70" s="98"/>
      <c r="P70" s="94"/>
      <c r="Q70" s="99"/>
      <c r="R70" s="94"/>
      <c r="S70" s="101"/>
      <c r="T70" s="101"/>
      <c r="U70" s="101"/>
      <c r="V70" s="101"/>
      <c r="W70" s="101"/>
      <c r="X70" s="101"/>
    </row>
    <row r="71">
      <c r="A71" s="66"/>
      <c r="B71" s="66"/>
      <c r="C71" s="67"/>
      <c r="D71" s="67"/>
      <c r="E71" s="67"/>
      <c r="F71" s="91"/>
      <c r="G71" s="88"/>
      <c r="H71" s="94"/>
      <c r="I71" s="94"/>
      <c r="J71" s="98"/>
      <c r="K71" s="98"/>
      <c r="L71" s="98"/>
      <c r="M71" s="98"/>
      <c r="N71" s="98"/>
      <c r="O71" s="98"/>
      <c r="P71" s="94"/>
      <c r="Q71" s="99"/>
      <c r="R71" s="94"/>
      <c r="S71" s="101"/>
      <c r="T71" s="101"/>
      <c r="U71" s="101"/>
      <c r="V71" s="101"/>
      <c r="W71" s="101"/>
      <c r="X71" s="101"/>
    </row>
    <row r="72">
      <c r="A72" s="66"/>
      <c r="B72" s="66"/>
      <c r="C72" s="67"/>
      <c r="D72" s="67"/>
      <c r="E72" s="67"/>
      <c r="F72" s="91"/>
      <c r="G72" s="88"/>
      <c r="H72" s="94"/>
      <c r="I72" s="94"/>
      <c r="J72" s="98"/>
      <c r="K72" s="98"/>
      <c r="L72" s="98"/>
      <c r="M72" s="98"/>
      <c r="N72" s="98"/>
      <c r="O72" s="98"/>
      <c r="P72" s="94"/>
      <c r="Q72" s="99"/>
      <c r="R72" s="94"/>
      <c r="S72" s="101"/>
      <c r="T72" s="101"/>
      <c r="U72" s="101"/>
      <c r="V72" s="101"/>
      <c r="W72" s="101"/>
      <c r="X72" s="101"/>
    </row>
    <row r="73">
      <c r="A73" s="66"/>
      <c r="B73" s="66"/>
      <c r="C73" s="67"/>
      <c r="D73" s="67"/>
      <c r="E73" s="67"/>
      <c r="F73" s="91"/>
      <c r="G73" s="88"/>
      <c r="H73" s="94"/>
      <c r="I73" s="94"/>
      <c r="J73" s="98"/>
      <c r="K73" s="98"/>
      <c r="L73" s="98"/>
      <c r="M73" s="98"/>
      <c r="N73" s="98"/>
      <c r="O73" s="98"/>
      <c r="P73" s="94"/>
      <c r="Q73" s="99"/>
      <c r="R73" s="94"/>
      <c r="S73" s="101"/>
      <c r="T73" s="101"/>
      <c r="U73" s="101"/>
      <c r="V73" s="101"/>
      <c r="W73" s="101"/>
      <c r="X73" s="101"/>
    </row>
    <row r="74">
      <c r="A74" s="66"/>
      <c r="B74" s="66"/>
      <c r="C74" s="67"/>
      <c r="D74" s="67"/>
      <c r="E74" s="67"/>
      <c r="F74" s="91"/>
      <c r="G74" s="88"/>
      <c r="H74" s="94"/>
      <c r="I74" s="94"/>
      <c r="J74" s="98"/>
      <c r="K74" s="98"/>
      <c r="L74" s="98"/>
      <c r="M74" s="98"/>
      <c r="N74" s="98"/>
      <c r="O74" s="98"/>
      <c r="P74" s="94"/>
      <c r="Q74" s="99"/>
      <c r="R74" s="94"/>
      <c r="S74" s="101"/>
      <c r="T74" s="101"/>
      <c r="U74" s="101"/>
      <c r="V74" s="101"/>
      <c r="W74" s="101"/>
      <c r="X74" s="101"/>
    </row>
    <row r="75">
      <c r="A75" s="66"/>
      <c r="B75" s="102"/>
      <c r="C75" s="67"/>
      <c r="D75" s="67"/>
      <c r="E75" s="67"/>
      <c r="F75" s="91"/>
      <c r="G75" s="88"/>
      <c r="H75" s="94"/>
      <c r="I75" s="94"/>
      <c r="J75" s="98"/>
      <c r="K75" s="98"/>
      <c r="L75" s="98"/>
      <c r="M75" s="98"/>
      <c r="N75" s="98"/>
      <c r="O75" s="98"/>
      <c r="P75" s="94"/>
      <c r="Q75" s="99"/>
      <c r="R75" s="94"/>
      <c r="S75" s="101"/>
      <c r="T75" s="101"/>
      <c r="U75" s="101"/>
      <c r="V75" s="101"/>
      <c r="W75" s="101"/>
      <c r="X75" s="101"/>
    </row>
    <row r="76">
      <c r="A76" s="66"/>
      <c r="B76" s="102"/>
      <c r="C76" s="67"/>
      <c r="D76" s="67"/>
      <c r="E76" s="67"/>
      <c r="F76" s="91"/>
      <c r="G76" s="88"/>
      <c r="H76" s="94"/>
      <c r="I76" s="94"/>
      <c r="J76" s="98"/>
      <c r="K76" s="98"/>
      <c r="L76" s="98"/>
      <c r="M76" s="98"/>
      <c r="N76" s="98"/>
      <c r="O76" s="98"/>
      <c r="P76" s="94"/>
      <c r="Q76" s="99"/>
      <c r="R76" s="94"/>
      <c r="S76" s="101"/>
      <c r="T76" s="101"/>
      <c r="U76" s="101"/>
      <c r="V76" s="101"/>
      <c r="W76" s="101"/>
      <c r="X76" s="101"/>
    </row>
    <row r="77">
      <c r="A77" s="66"/>
      <c r="B77" s="66"/>
      <c r="C77" s="67"/>
      <c r="D77" s="67"/>
      <c r="E77" s="67"/>
      <c r="F77" s="91"/>
      <c r="G77" s="88"/>
      <c r="H77" s="94"/>
      <c r="I77" s="94"/>
      <c r="J77" s="98"/>
      <c r="K77" s="98"/>
      <c r="L77" s="98"/>
      <c r="M77" s="98"/>
      <c r="N77" s="98"/>
      <c r="O77" s="98"/>
      <c r="P77" s="94"/>
      <c r="Q77" s="99"/>
      <c r="R77" s="94"/>
      <c r="S77" s="101"/>
      <c r="T77" s="101"/>
      <c r="U77" s="101"/>
      <c r="V77" s="101"/>
      <c r="W77" s="101"/>
      <c r="X77" s="101"/>
    </row>
    <row r="78">
      <c r="A78" s="66"/>
      <c r="B78" s="66"/>
      <c r="C78" s="67"/>
      <c r="D78" s="67"/>
      <c r="E78" s="67"/>
      <c r="F78" s="91"/>
      <c r="G78" s="88"/>
      <c r="H78" s="94"/>
      <c r="I78" s="94"/>
      <c r="J78" s="98"/>
      <c r="K78" s="98"/>
      <c r="L78" s="98"/>
      <c r="M78" s="98"/>
      <c r="N78" s="98"/>
      <c r="O78" s="98"/>
      <c r="P78" s="94"/>
      <c r="Q78" s="99"/>
      <c r="R78" s="94"/>
      <c r="S78" s="101"/>
      <c r="T78" s="101"/>
      <c r="U78" s="101"/>
      <c r="V78" s="101"/>
      <c r="W78" s="101"/>
      <c r="X78" s="101"/>
    </row>
    <row r="79">
      <c r="A79" s="66"/>
      <c r="B79" s="66"/>
      <c r="C79" s="67"/>
      <c r="D79" s="67"/>
      <c r="E79" s="67"/>
      <c r="F79" s="91"/>
      <c r="G79" s="88"/>
      <c r="H79" s="94"/>
      <c r="I79" s="94"/>
      <c r="J79" s="98"/>
      <c r="K79" s="98"/>
      <c r="L79" s="98"/>
      <c r="M79" s="98"/>
      <c r="N79" s="98"/>
      <c r="O79" s="98"/>
      <c r="P79" s="94"/>
      <c r="Q79" s="99"/>
      <c r="R79" s="94"/>
      <c r="S79" s="101"/>
      <c r="T79" s="101"/>
      <c r="U79" s="101"/>
      <c r="V79" s="101"/>
      <c r="W79" s="101"/>
      <c r="X79" s="101"/>
    </row>
    <row r="80">
      <c r="A80" s="66"/>
      <c r="B80" s="66"/>
      <c r="C80" s="67"/>
      <c r="D80" s="67"/>
      <c r="E80" s="67"/>
      <c r="F80" s="91"/>
      <c r="G80" s="88"/>
      <c r="H80" s="94"/>
      <c r="I80" s="94"/>
      <c r="J80" s="98"/>
      <c r="K80" s="98"/>
      <c r="L80" s="98"/>
      <c r="M80" s="98"/>
      <c r="N80" s="98"/>
      <c r="O80" s="98"/>
      <c r="P80" s="94"/>
      <c r="Q80" s="99"/>
      <c r="R80" s="94"/>
      <c r="S80" s="101"/>
      <c r="T80" s="101"/>
      <c r="U80" s="101"/>
      <c r="V80" s="101"/>
      <c r="W80" s="101"/>
      <c r="X80" s="101"/>
    </row>
    <row r="81">
      <c r="A81" s="66"/>
      <c r="B81" s="66"/>
      <c r="C81" s="67"/>
      <c r="D81" s="67"/>
      <c r="E81" s="67"/>
      <c r="F81" s="91"/>
      <c r="G81" s="88"/>
      <c r="H81" s="94"/>
      <c r="I81" s="94"/>
      <c r="J81" s="98"/>
      <c r="K81" s="98"/>
      <c r="L81" s="98"/>
      <c r="M81" s="98"/>
      <c r="N81" s="98"/>
      <c r="O81" s="98"/>
      <c r="P81" s="94"/>
      <c r="Q81" s="99"/>
      <c r="R81" s="94"/>
      <c r="S81" s="101"/>
      <c r="T81" s="101"/>
      <c r="U81" s="101"/>
      <c r="V81" s="101"/>
      <c r="W81" s="101"/>
      <c r="X81" s="101"/>
    </row>
    <row r="82">
      <c r="A82" s="66"/>
      <c r="B82" s="66"/>
      <c r="C82" s="67"/>
      <c r="D82" s="67"/>
      <c r="E82" s="67"/>
      <c r="F82" s="91"/>
      <c r="G82" s="88"/>
      <c r="H82" s="94"/>
      <c r="I82" s="94"/>
      <c r="J82" s="98"/>
      <c r="K82" s="98"/>
      <c r="L82" s="98"/>
      <c r="M82" s="98"/>
      <c r="N82" s="98"/>
      <c r="O82" s="98"/>
      <c r="P82" s="94"/>
      <c r="Q82" s="99"/>
      <c r="R82" s="94"/>
      <c r="S82" s="101"/>
      <c r="T82" s="101"/>
      <c r="U82" s="101"/>
      <c r="V82" s="101"/>
      <c r="W82" s="101"/>
      <c r="X82" s="101"/>
    </row>
    <row r="83">
      <c r="A83" s="66"/>
      <c r="B83" s="66"/>
      <c r="C83" s="67"/>
      <c r="D83" s="67"/>
      <c r="E83" s="67"/>
      <c r="F83" s="91"/>
      <c r="G83" s="88"/>
      <c r="H83" s="94"/>
      <c r="I83" s="94"/>
      <c r="J83" s="98"/>
      <c r="K83" s="98"/>
      <c r="L83" s="98"/>
      <c r="M83" s="98"/>
      <c r="N83" s="98"/>
      <c r="O83" s="98"/>
      <c r="P83" s="94"/>
      <c r="Q83" s="99"/>
      <c r="R83" s="94"/>
      <c r="S83" s="101"/>
      <c r="T83" s="101"/>
      <c r="U83" s="101"/>
      <c r="V83" s="101"/>
      <c r="W83" s="101"/>
      <c r="X83" s="101"/>
    </row>
    <row r="84">
      <c r="A84" s="66"/>
      <c r="B84" s="102"/>
      <c r="C84" s="67"/>
      <c r="D84" s="67"/>
      <c r="E84" s="67"/>
      <c r="F84" s="91"/>
      <c r="G84" s="88"/>
      <c r="H84" s="94"/>
      <c r="I84" s="94"/>
      <c r="J84" s="98"/>
      <c r="K84" s="98"/>
      <c r="L84" s="98"/>
      <c r="M84" s="98"/>
      <c r="N84" s="98"/>
      <c r="O84" s="98"/>
      <c r="P84" s="94"/>
      <c r="Q84" s="99"/>
      <c r="R84" s="94"/>
      <c r="S84" s="101"/>
      <c r="T84" s="101"/>
      <c r="U84" s="101"/>
      <c r="V84" s="101"/>
      <c r="W84" s="101"/>
      <c r="X84" s="101"/>
    </row>
    <row r="85">
      <c r="A85" s="66"/>
      <c r="B85" s="66"/>
      <c r="C85" s="67"/>
      <c r="D85" s="67"/>
      <c r="E85" s="67"/>
      <c r="F85" s="91"/>
      <c r="G85" s="88"/>
      <c r="H85" s="94"/>
      <c r="I85" s="94"/>
      <c r="J85" s="98"/>
      <c r="K85" s="98"/>
      <c r="L85" s="98"/>
      <c r="M85" s="98"/>
      <c r="N85" s="98"/>
      <c r="O85" s="98"/>
      <c r="P85" s="94"/>
      <c r="Q85" s="99"/>
      <c r="R85" s="94"/>
      <c r="S85" s="101"/>
      <c r="T85" s="101"/>
      <c r="U85" s="101"/>
      <c r="V85" s="101"/>
      <c r="W85" s="101"/>
      <c r="X85" s="101"/>
    </row>
    <row r="86">
      <c r="A86" s="66"/>
      <c r="B86" s="66"/>
      <c r="C86" s="67"/>
      <c r="D86" s="67"/>
      <c r="E86" s="67"/>
      <c r="F86" s="91"/>
      <c r="G86" s="88"/>
      <c r="H86" s="94"/>
      <c r="I86" s="94"/>
      <c r="J86" s="98"/>
      <c r="K86" s="98"/>
      <c r="L86" s="98"/>
      <c r="M86" s="98"/>
      <c r="N86" s="98"/>
      <c r="O86" s="98"/>
      <c r="P86" s="94"/>
      <c r="Q86" s="99"/>
      <c r="R86" s="94"/>
      <c r="S86" s="101"/>
      <c r="T86" s="101"/>
      <c r="U86" s="101"/>
      <c r="V86" s="101"/>
      <c r="W86" s="101"/>
      <c r="X86" s="101"/>
    </row>
    <row r="87">
      <c r="A87" s="66"/>
      <c r="B87" s="66"/>
      <c r="C87" s="67"/>
      <c r="D87" s="67"/>
      <c r="E87" s="67"/>
      <c r="F87" s="91"/>
      <c r="G87" s="88"/>
      <c r="H87" s="94"/>
      <c r="I87" s="94"/>
      <c r="J87" s="98"/>
      <c r="K87" s="98"/>
      <c r="L87" s="98"/>
      <c r="M87" s="98"/>
      <c r="N87" s="98"/>
      <c r="O87" s="98"/>
      <c r="P87" s="94"/>
      <c r="Q87" s="99"/>
      <c r="R87" s="94"/>
      <c r="S87" s="101"/>
      <c r="T87" s="101"/>
      <c r="U87" s="101"/>
      <c r="V87" s="101"/>
      <c r="W87" s="101"/>
      <c r="X87" s="101"/>
    </row>
    <row r="88">
      <c r="A88" s="66"/>
      <c r="B88" s="66"/>
      <c r="C88" s="67"/>
      <c r="D88" s="67"/>
      <c r="E88" s="67"/>
      <c r="F88" s="91"/>
      <c r="G88" s="88"/>
      <c r="H88" s="94"/>
      <c r="I88" s="94"/>
      <c r="J88" s="98"/>
      <c r="K88" s="98"/>
      <c r="L88" s="98"/>
      <c r="M88" s="98"/>
      <c r="N88" s="98"/>
      <c r="O88" s="98"/>
      <c r="P88" s="94"/>
      <c r="Q88" s="99"/>
      <c r="R88" s="94"/>
      <c r="S88" s="101"/>
      <c r="T88" s="101"/>
      <c r="U88" s="101"/>
      <c r="V88" s="101"/>
      <c r="W88" s="101"/>
      <c r="X88" s="101"/>
    </row>
    <row r="89">
      <c r="A89" s="66"/>
      <c r="B89" s="66"/>
      <c r="C89" s="67"/>
      <c r="D89" s="67"/>
      <c r="E89" s="67"/>
      <c r="F89" s="91"/>
      <c r="G89" s="88"/>
      <c r="H89" s="94"/>
      <c r="I89" s="94"/>
      <c r="J89" s="98"/>
      <c r="K89" s="98"/>
      <c r="L89" s="98"/>
      <c r="M89" s="98"/>
      <c r="N89" s="98"/>
      <c r="O89" s="98"/>
      <c r="P89" s="94"/>
      <c r="Q89" s="99"/>
      <c r="R89" s="94"/>
      <c r="S89" s="101"/>
      <c r="T89" s="101"/>
      <c r="U89" s="101"/>
      <c r="V89" s="101"/>
      <c r="W89" s="101"/>
      <c r="X89" s="101"/>
    </row>
    <row r="90">
      <c r="A90" s="66"/>
      <c r="B90" s="66"/>
      <c r="C90" s="67"/>
      <c r="D90" s="67"/>
      <c r="E90" s="67"/>
      <c r="F90" s="91"/>
      <c r="G90" s="88"/>
      <c r="H90" s="94"/>
      <c r="I90" s="94"/>
      <c r="J90" s="98"/>
      <c r="K90" s="98"/>
      <c r="L90" s="98"/>
      <c r="M90" s="98"/>
      <c r="N90" s="98"/>
      <c r="O90" s="98"/>
      <c r="P90" s="94"/>
      <c r="Q90" s="99"/>
      <c r="R90" s="94"/>
      <c r="S90" s="101"/>
      <c r="T90" s="101"/>
      <c r="U90" s="101"/>
      <c r="V90" s="101"/>
      <c r="W90" s="101"/>
      <c r="X90" s="101"/>
    </row>
    <row r="91">
      <c r="A91" s="66"/>
      <c r="B91" s="66"/>
      <c r="C91" s="67"/>
      <c r="D91" s="67"/>
      <c r="E91" s="67"/>
      <c r="F91" s="91"/>
      <c r="G91" s="88"/>
      <c r="H91" s="94"/>
      <c r="I91" s="94"/>
      <c r="J91" s="98"/>
      <c r="K91" s="98"/>
      <c r="L91" s="98"/>
      <c r="M91" s="98"/>
      <c r="N91" s="98"/>
      <c r="O91" s="98"/>
      <c r="P91" s="94"/>
      <c r="Q91" s="99"/>
      <c r="R91" s="94"/>
      <c r="S91" s="101"/>
      <c r="T91" s="101"/>
      <c r="U91" s="101"/>
      <c r="V91" s="101"/>
      <c r="W91" s="101"/>
      <c r="X91" s="101"/>
    </row>
    <row r="92">
      <c r="A92" s="66"/>
      <c r="B92" s="66"/>
      <c r="C92" s="67"/>
      <c r="D92" s="67"/>
      <c r="E92" s="67"/>
      <c r="F92" s="91"/>
      <c r="G92" s="88"/>
      <c r="H92" s="94"/>
      <c r="I92" s="94"/>
      <c r="J92" s="98"/>
      <c r="K92" s="98"/>
      <c r="L92" s="98"/>
      <c r="M92" s="98"/>
      <c r="N92" s="98"/>
      <c r="O92" s="98"/>
      <c r="P92" s="94"/>
      <c r="Q92" s="99"/>
      <c r="R92" s="94"/>
      <c r="S92" s="101"/>
      <c r="T92" s="101"/>
      <c r="U92" s="101"/>
      <c r="V92" s="101"/>
      <c r="W92" s="101"/>
      <c r="X92" s="101"/>
    </row>
    <row r="93">
      <c r="A93" s="66"/>
      <c r="B93" s="66"/>
      <c r="C93" s="67"/>
      <c r="D93" s="67"/>
      <c r="E93" s="67"/>
      <c r="F93" s="91"/>
      <c r="G93" s="88"/>
      <c r="H93" s="94"/>
      <c r="I93" s="94"/>
      <c r="J93" s="98"/>
      <c r="K93" s="98"/>
      <c r="L93" s="98"/>
      <c r="M93" s="98"/>
      <c r="N93" s="98"/>
      <c r="O93" s="98"/>
      <c r="P93" s="94"/>
      <c r="Q93" s="99"/>
      <c r="R93" s="94"/>
      <c r="S93" s="101"/>
      <c r="T93" s="101"/>
      <c r="U93" s="101"/>
      <c r="V93" s="101"/>
      <c r="W93" s="101"/>
      <c r="X93" s="101"/>
    </row>
    <row r="94">
      <c r="A94" s="66"/>
      <c r="B94" s="66"/>
      <c r="C94" s="67"/>
      <c r="D94" s="67"/>
      <c r="E94" s="67"/>
      <c r="F94" s="91"/>
      <c r="G94" s="88"/>
      <c r="H94" s="94"/>
      <c r="I94" s="94"/>
      <c r="J94" s="98"/>
      <c r="K94" s="98"/>
      <c r="L94" s="98"/>
      <c r="M94" s="98"/>
      <c r="N94" s="98"/>
      <c r="O94" s="98"/>
      <c r="P94" s="94"/>
      <c r="Q94" s="99"/>
      <c r="R94" s="94"/>
      <c r="S94" s="101"/>
      <c r="T94" s="101"/>
      <c r="U94" s="101"/>
      <c r="V94" s="101"/>
      <c r="W94" s="101"/>
      <c r="X94" s="101"/>
    </row>
    <row r="95">
      <c r="A95" s="66"/>
      <c r="B95" s="66"/>
      <c r="C95" s="67"/>
      <c r="D95" s="67"/>
      <c r="E95" s="67"/>
      <c r="F95" s="91"/>
      <c r="G95" s="88"/>
      <c r="H95" s="94"/>
      <c r="I95" s="94"/>
      <c r="J95" s="98"/>
      <c r="K95" s="98"/>
      <c r="L95" s="98"/>
      <c r="M95" s="98"/>
      <c r="N95" s="98"/>
      <c r="O95" s="98"/>
      <c r="P95" s="94"/>
      <c r="Q95" s="99"/>
      <c r="R95" s="94"/>
      <c r="S95" s="101"/>
      <c r="T95" s="101"/>
      <c r="U95" s="101"/>
      <c r="V95" s="101"/>
      <c r="W95" s="101"/>
      <c r="X95" s="101"/>
    </row>
    <row r="96">
      <c r="A96" s="66"/>
      <c r="B96" s="102"/>
      <c r="C96" s="67"/>
      <c r="D96" s="67"/>
      <c r="E96" s="67"/>
      <c r="F96" s="91"/>
      <c r="G96" s="88"/>
      <c r="H96" s="94"/>
      <c r="I96" s="94"/>
      <c r="J96" s="98"/>
      <c r="K96" s="98"/>
      <c r="L96" s="98"/>
      <c r="M96" s="98"/>
      <c r="N96" s="98"/>
      <c r="O96" s="98"/>
      <c r="P96" s="94"/>
      <c r="Q96" s="99"/>
      <c r="R96" s="94"/>
      <c r="S96" s="101"/>
      <c r="T96" s="101"/>
      <c r="U96" s="101"/>
      <c r="V96" s="101"/>
      <c r="W96" s="101"/>
      <c r="X96" s="101"/>
    </row>
    <row r="97">
      <c r="A97" s="66"/>
      <c r="B97" s="66"/>
      <c r="C97" s="67"/>
      <c r="D97" s="67"/>
      <c r="E97" s="67"/>
      <c r="F97" s="91"/>
      <c r="G97" s="88"/>
      <c r="H97" s="94"/>
      <c r="I97" s="94"/>
      <c r="J97" s="98"/>
      <c r="K97" s="98"/>
      <c r="L97" s="98"/>
      <c r="M97" s="98"/>
      <c r="N97" s="98"/>
      <c r="O97" s="98"/>
      <c r="P97" s="94"/>
      <c r="Q97" s="99"/>
      <c r="R97" s="94"/>
      <c r="S97" s="101"/>
      <c r="T97" s="101"/>
      <c r="U97" s="101"/>
      <c r="V97" s="101"/>
      <c r="W97" s="101"/>
      <c r="X97" s="101"/>
    </row>
    <row r="98">
      <c r="A98" s="66"/>
      <c r="B98" s="66"/>
      <c r="C98" s="67"/>
      <c r="D98" s="67"/>
      <c r="E98" s="67"/>
      <c r="F98" s="91"/>
      <c r="G98" s="88"/>
      <c r="H98" s="94"/>
      <c r="I98" s="94"/>
      <c r="J98" s="98"/>
      <c r="K98" s="98"/>
      <c r="L98" s="98"/>
      <c r="M98" s="98"/>
      <c r="N98" s="98"/>
      <c r="O98" s="98"/>
      <c r="P98" s="94"/>
      <c r="Q98" s="99"/>
      <c r="R98" s="94"/>
      <c r="S98" s="101"/>
      <c r="T98" s="101"/>
      <c r="U98" s="101"/>
      <c r="V98" s="101"/>
      <c r="W98" s="101"/>
      <c r="X98" s="101"/>
    </row>
    <row r="99">
      <c r="A99" s="66"/>
      <c r="B99" s="66"/>
      <c r="C99" s="67"/>
      <c r="D99" s="67"/>
      <c r="E99" s="67"/>
      <c r="F99" s="91"/>
      <c r="G99" s="88"/>
      <c r="H99" s="94"/>
      <c r="I99" s="94"/>
      <c r="J99" s="98"/>
      <c r="K99" s="98"/>
      <c r="L99" s="98"/>
      <c r="M99" s="98"/>
      <c r="N99" s="98"/>
      <c r="O99" s="98"/>
      <c r="P99" s="94"/>
      <c r="Q99" s="99"/>
      <c r="R99" s="94"/>
      <c r="S99" s="101"/>
      <c r="T99" s="101"/>
      <c r="U99" s="101"/>
      <c r="V99" s="101"/>
      <c r="W99" s="101"/>
      <c r="X99" s="101"/>
    </row>
    <row r="100">
      <c r="A100" s="66"/>
      <c r="B100" s="66"/>
      <c r="C100" s="67"/>
      <c r="D100" s="67"/>
      <c r="E100" s="67"/>
      <c r="F100" s="91"/>
      <c r="G100" s="88"/>
      <c r="H100" s="94"/>
      <c r="I100" s="94"/>
      <c r="J100" s="98"/>
      <c r="K100" s="98"/>
      <c r="L100" s="98"/>
      <c r="M100" s="98"/>
      <c r="N100" s="98"/>
      <c r="O100" s="98"/>
      <c r="P100" s="94"/>
      <c r="Q100" s="99"/>
      <c r="R100" s="94"/>
      <c r="S100" s="101"/>
      <c r="T100" s="101"/>
      <c r="U100" s="101"/>
      <c r="V100" s="101"/>
      <c r="W100" s="101"/>
      <c r="X100" s="101"/>
    </row>
    <row r="101">
      <c r="A101" s="66"/>
      <c r="B101" s="66"/>
      <c r="C101" s="67"/>
      <c r="D101" s="67"/>
      <c r="E101" s="67"/>
      <c r="F101" s="91"/>
      <c r="G101" s="88"/>
      <c r="H101" s="94"/>
      <c r="I101" s="94"/>
      <c r="J101" s="98"/>
      <c r="K101" s="98"/>
      <c r="L101" s="98"/>
      <c r="M101" s="98"/>
      <c r="N101" s="98"/>
      <c r="O101" s="98"/>
      <c r="P101" s="94"/>
      <c r="Q101" s="99"/>
      <c r="R101" s="94"/>
      <c r="S101" s="101"/>
      <c r="T101" s="101"/>
      <c r="U101" s="101"/>
      <c r="V101" s="101"/>
      <c r="W101" s="101"/>
      <c r="X101" s="101"/>
    </row>
    <row r="102">
      <c r="A102" s="66"/>
      <c r="B102" s="66"/>
      <c r="C102" s="67"/>
      <c r="D102" s="67"/>
      <c r="E102" s="67"/>
      <c r="F102" s="91"/>
      <c r="G102" s="88"/>
      <c r="H102" s="94"/>
      <c r="I102" s="94"/>
      <c r="J102" s="98"/>
      <c r="K102" s="98"/>
      <c r="L102" s="98"/>
      <c r="M102" s="98"/>
      <c r="N102" s="98"/>
      <c r="O102" s="98"/>
      <c r="P102" s="94"/>
      <c r="Q102" s="99"/>
      <c r="R102" s="94"/>
      <c r="S102" s="101"/>
      <c r="T102" s="101"/>
      <c r="U102" s="101"/>
      <c r="V102" s="101"/>
      <c r="W102" s="101"/>
      <c r="X102" s="101"/>
    </row>
    <row r="103">
      <c r="A103" s="66"/>
      <c r="B103" s="66"/>
      <c r="C103" s="67"/>
      <c r="D103" s="67"/>
      <c r="E103" s="67"/>
      <c r="F103" s="91"/>
      <c r="G103" s="88"/>
      <c r="H103" s="94"/>
      <c r="I103" s="94"/>
      <c r="J103" s="98"/>
      <c r="K103" s="98"/>
      <c r="L103" s="98"/>
      <c r="M103" s="98"/>
      <c r="N103" s="98"/>
      <c r="O103" s="98"/>
      <c r="P103" s="94"/>
      <c r="Q103" s="99"/>
      <c r="R103" s="94"/>
      <c r="S103" s="101"/>
      <c r="T103" s="101"/>
      <c r="U103" s="101"/>
      <c r="V103" s="101"/>
      <c r="W103" s="101"/>
      <c r="X103" s="101"/>
    </row>
    <row r="104">
      <c r="A104" s="66"/>
      <c r="B104" s="66"/>
      <c r="C104" s="67"/>
      <c r="D104" s="67"/>
      <c r="E104" s="67"/>
      <c r="F104" s="91"/>
      <c r="G104" s="88"/>
      <c r="H104" s="94"/>
      <c r="I104" s="94"/>
      <c r="J104" s="98"/>
      <c r="K104" s="98"/>
      <c r="L104" s="98"/>
      <c r="M104" s="98"/>
      <c r="N104" s="98"/>
      <c r="O104" s="98"/>
      <c r="P104" s="94"/>
      <c r="Q104" s="99"/>
      <c r="R104" s="94"/>
      <c r="S104" s="101"/>
      <c r="T104" s="101"/>
      <c r="U104" s="101"/>
      <c r="V104" s="101"/>
      <c r="W104" s="101"/>
      <c r="X104" s="101"/>
    </row>
    <row r="105">
      <c r="A105" s="66"/>
      <c r="B105" s="66"/>
      <c r="C105" s="67"/>
      <c r="D105" s="67"/>
      <c r="E105" s="67"/>
      <c r="F105" s="91"/>
      <c r="G105" s="88"/>
      <c r="H105" s="94"/>
      <c r="I105" s="94"/>
      <c r="J105" s="98"/>
      <c r="K105" s="98"/>
      <c r="L105" s="98"/>
      <c r="M105" s="98"/>
      <c r="N105" s="98"/>
      <c r="O105" s="98"/>
      <c r="P105" s="94"/>
      <c r="Q105" s="99"/>
      <c r="R105" s="94"/>
      <c r="S105" s="101"/>
      <c r="T105" s="101"/>
      <c r="U105" s="101"/>
      <c r="V105" s="101"/>
      <c r="W105" s="101"/>
      <c r="X105" s="101"/>
    </row>
    <row r="106">
      <c r="A106" s="66"/>
      <c r="B106" s="66"/>
      <c r="C106" s="67"/>
      <c r="D106" s="67"/>
      <c r="E106" s="67"/>
      <c r="F106" s="91"/>
      <c r="G106" s="88"/>
      <c r="H106" s="94"/>
      <c r="I106" s="94"/>
      <c r="J106" s="98"/>
      <c r="K106" s="98"/>
      <c r="L106" s="98"/>
      <c r="M106" s="98"/>
      <c r="N106" s="98"/>
      <c r="O106" s="98"/>
      <c r="P106" s="94"/>
      <c r="Q106" s="99"/>
      <c r="R106" s="94"/>
      <c r="S106" s="101"/>
      <c r="T106" s="101"/>
      <c r="U106" s="101"/>
      <c r="V106" s="101"/>
      <c r="W106" s="101"/>
      <c r="X106" s="101"/>
    </row>
    <row r="107">
      <c r="A107" s="66"/>
      <c r="B107" s="66"/>
      <c r="C107" s="67"/>
      <c r="D107" s="67"/>
      <c r="E107" s="67"/>
      <c r="F107" s="91"/>
      <c r="G107" s="88"/>
      <c r="H107" s="94"/>
      <c r="I107" s="94"/>
      <c r="J107" s="98"/>
      <c r="K107" s="98"/>
      <c r="L107" s="98"/>
      <c r="M107" s="98"/>
      <c r="N107" s="98"/>
      <c r="O107" s="98"/>
      <c r="P107" s="94"/>
      <c r="Q107" s="99"/>
      <c r="R107" s="94"/>
      <c r="S107" s="101"/>
      <c r="T107" s="101"/>
      <c r="U107" s="101"/>
      <c r="V107" s="101"/>
      <c r="W107" s="101"/>
      <c r="X107" s="101"/>
    </row>
    <row r="108">
      <c r="A108" s="66"/>
      <c r="B108" s="66"/>
      <c r="C108" s="67"/>
      <c r="D108" s="67"/>
      <c r="E108" s="67"/>
      <c r="F108" s="91"/>
      <c r="G108" s="88"/>
      <c r="H108" s="94"/>
      <c r="I108" s="94"/>
      <c r="J108" s="98"/>
      <c r="K108" s="98"/>
      <c r="L108" s="98"/>
      <c r="M108" s="98"/>
      <c r="N108" s="98"/>
      <c r="O108" s="98"/>
      <c r="P108" s="94"/>
      <c r="Q108" s="99"/>
      <c r="R108" s="94"/>
      <c r="S108" s="101"/>
      <c r="T108" s="101"/>
      <c r="U108" s="101"/>
      <c r="V108" s="101"/>
      <c r="W108" s="101"/>
      <c r="X108" s="101"/>
    </row>
    <row r="109">
      <c r="A109" s="66"/>
      <c r="B109" s="66"/>
      <c r="C109" s="67"/>
      <c r="D109" s="67"/>
      <c r="E109" s="67"/>
      <c r="F109" s="91"/>
      <c r="G109" s="88"/>
      <c r="H109" s="94"/>
      <c r="I109" s="94"/>
      <c r="J109" s="98"/>
      <c r="K109" s="98"/>
      <c r="L109" s="98"/>
      <c r="M109" s="98"/>
      <c r="N109" s="98"/>
      <c r="O109" s="98"/>
      <c r="P109" s="94"/>
      <c r="Q109" s="99"/>
      <c r="R109" s="94"/>
      <c r="S109" s="101"/>
      <c r="T109" s="101"/>
      <c r="U109" s="101"/>
      <c r="V109" s="101"/>
      <c r="W109" s="101"/>
      <c r="X109" s="101"/>
    </row>
    <row r="110">
      <c r="A110" s="66"/>
      <c r="B110" s="102"/>
      <c r="C110" s="67"/>
      <c r="D110" s="67"/>
      <c r="E110" s="67"/>
      <c r="F110" s="91"/>
      <c r="G110" s="88"/>
      <c r="H110" s="94"/>
      <c r="I110" s="94"/>
      <c r="J110" s="98"/>
      <c r="K110" s="98"/>
      <c r="L110" s="98"/>
      <c r="M110" s="98"/>
      <c r="N110" s="98"/>
      <c r="O110" s="98"/>
      <c r="P110" s="94"/>
      <c r="Q110" s="99"/>
      <c r="R110" s="94"/>
      <c r="S110" s="101"/>
      <c r="T110" s="101"/>
      <c r="U110" s="101"/>
      <c r="V110" s="101"/>
      <c r="W110" s="101"/>
      <c r="X110" s="101"/>
    </row>
    <row r="111">
      <c r="A111" s="66"/>
      <c r="B111" s="66"/>
      <c r="C111" s="67"/>
      <c r="D111" s="67"/>
      <c r="E111" s="67"/>
      <c r="F111" s="91"/>
      <c r="G111" s="88"/>
      <c r="H111" s="94"/>
      <c r="I111" s="94"/>
      <c r="J111" s="98"/>
      <c r="K111" s="98"/>
      <c r="L111" s="98"/>
      <c r="M111" s="98"/>
      <c r="N111" s="98"/>
      <c r="O111" s="98"/>
      <c r="P111" s="94"/>
      <c r="Q111" s="99"/>
      <c r="R111" s="94"/>
      <c r="S111" s="101"/>
      <c r="T111" s="101"/>
      <c r="U111" s="101"/>
      <c r="V111" s="101"/>
      <c r="W111" s="101"/>
      <c r="X111" s="101"/>
    </row>
    <row r="112">
      <c r="A112" s="66"/>
      <c r="B112" s="66"/>
      <c r="C112" s="67"/>
      <c r="D112" s="67"/>
      <c r="E112" s="67"/>
      <c r="F112" s="91"/>
      <c r="G112" s="88"/>
      <c r="H112" s="94"/>
      <c r="I112" s="94"/>
      <c r="J112" s="98"/>
      <c r="K112" s="98"/>
      <c r="L112" s="98"/>
      <c r="M112" s="98"/>
      <c r="N112" s="98"/>
      <c r="O112" s="98"/>
      <c r="P112" s="94"/>
      <c r="Q112" s="99"/>
      <c r="R112" s="94"/>
      <c r="S112" s="101"/>
      <c r="T112" s="101"/>
      <c r="U112" s="101"/>
      <c r="V112" s="101"/>
      <c r="W112" s="101"/>
      <c r="X112" s="101"/>
    </row>
    <row r="113">
      <c r="A113" s="66"/>
      <c r="B113" s="66"/>
      <c r="C113" s="67"/>
      <c r="D113" s="67"/>
      <c r="E113" s="67"/>
      <c r="F113" s="91"/>
      <c r="G113" s="88"/>
      <c r="H113" s="94"/>
      <c r="I113" s="94"/>
      <c r="J113" s="98"/>
      <c r="K113" s="98"/>
      <c r="L113" s="98"/>
      <c r="M113" s="98"/>
      <c r="N113" s="98"/>
      <c r="O113" s="98"/>
      <c r="P113" s="94"/>
      <c r="Q113" s="99"/>
      <c r="R113" s="94"/>
      <c r="S113" s="101"/>
      <c r="T113" s="101"/>
      <c r="U113" s="101"/>
      <c r="V113" s="101"/>
      <c r="W113" s="101"/>
      <c r="X113" s="101"/>
    </row>
    <row r="114">
      <c r="A114" s="66"/>
      <c r="B114" s="66"/>
      <c r="C114" s="67"/>
      <c r="D114" s="67"/>
      <c r="E114" s="67"/>
      <c r="F114" s="91"/>
      <c r="G114" s="88"/>
      <c r="H114" s="94"/>
      <c r="I114" s="94"/>
      <c r="J114" s="98"/>
      <c r="K114" s="98"/>
      <c r="L114" s="98"/>
      <c r="M114" s="98"/>
      <c r="N114" s="98"/>
      <c r="O114" s="98"/>
      <c r="P114" s="94"/>
      <c r="Q114" s="99"/>
      <c r="R114" s="94"/>
      <c r="S114" s="101"/>
      <c r="T114" s="101"/>
      <c r="U114" s="101"/>
      <c r="V114" s="101"/>
      <c r="W114" s="101"/>
      <c r="X114" s="101"/>
    </row>
    <row r="115">
      <c r="A115" s="66"/>
      <c r="B115" s="66"/>
      <c r="C115" s="67"/>
      <c r="D115" s="67"/>
      <c r="E115" s="67"/>
      <c r="F115" s="91"/>
      <c r="G115" s="88"/>
      <c r="H115" s="94"/>
      <c r="I115" s="94"/>
      <c r="J115" s="98"/>
      <c r="K115" s="98"/>
      <c r="L115" s="98"/>
      <c r="M115" s="98"/>
      <c r="N115" s="98"/>
      <c r="O115" s="98"/>
      <c r="P115" s="94"/>
      <c r="Q115" s="99"/>
      <c r="R115" s="94"/>
      <c r="S115" s="101"/>
      <c r="T115" s="101"/>
      <c r="U115" s="101"/>
      <c r="V115" s="101"/>
      <c r="W115" s="101"/>
      <c r="X115" s="101"/>
    </row>
    <row r="116">
      <c r="A116" s="66"/>
      <c r="B116" s="66"/>
      <c r="C116" s="67"/>
      <c r="D116" s="67"/>
      <c r="E116" s="67"/>
      <c r="F116" s="91"/>
      <c r="G116" s="88"/>
      <c r="H116" s="94"/>
      <c r="I116" s="94"/>
      <c r="J116" s="98"/>
      <c r="K116" s="98"/>
      <c r="L116" s="98"/>
      <c r="M116" s="98"/>
      <c r="N116" s="98"/>
      <c r="O116" s="98"/>
      <c r="P116" s="94"/>
      <c r="Q116" s="99"/>
      <c r="R116" s="94"/>
      <c r="S116" s="101"/>
      <c r="T116" s="101"/>
      <c r="U116" s="101"/>
      <c r="V116" s="101"/>
      <c r="W116" s="101"/>
      <c r="X116" s="101"/>
    </row>
    <row r="117">
      <c r="A117" s="66"/>
      <c r="B117" s="66"/>
      <c r="C117" s="67"/>
      <c r="D117" s="67"/>
      <c r="E117" s="67"/>
      <c r="F117" s="91"/>
      <c r="G117" s="88"/>
      <c r="H117" s="94"/>
      <c r="I117" s="94"/>
      <c r="J117" s="98"/>
      <c r="K117" s="98"/>
      <c r="L117" s="98"/>
      <c r="M117" s="98"/>
      <c r="N117" s="98"/>
      <c r="O117" s="98"/>
      <c r="P117" s="94"/>
      <c r="Q117" s="99"/>
      <c r="R117" s="94"/>
      <c r="S117" s="101"/>
      <c r="T117" s="101"/>
      <c r="U117" s="101"/>
      <c r="V117" s="101"/>
      <c r="W117" s="101"/>
      <c r="X117" s="101"/>
    </row>
    <row r="118">
      <c r="A118" s="66"/>
      <c r="B118" s="102"/>
      <c r="C118" s="67"/>
      <c r="D118" s="67"/>
      <c r="E118" s="67"/>
      <c r="F118" s="91"/>
      <c r="G118" s="88"/>
      <c r="H118" s="94"/>
      <c r="I118" s="94"/>
      <c r="J118" s="98"/>
      <c r="K118" s="98"/>
      <c r="L118" s="98"/>
      <c r="M118" s="98"/>
      <c r="N118" s="98"/>
      <c r="O118" s="98"/>
      <c r="P118" s="94"/>
      <c r="Q118" s="99"/>
      <c r="R118" s="94"/>
      <c r="S118" s="101"/>
      <c r="T118" s="101"/>
      <c r="U118" s="101"/>
      <c r="V118" s="101"/>
      <c r="W118" s="101"/>
      <c r="X118" s="101"/>
    </row>
    <row r="119">
      <c r="A119" s="66"/>
      <c r="B119" s="66"/>
      <c r="C119" s="67"/>
      <c r="D119" s="67"/>
      <c r="E119" s="67"/>
      <c r="F119" s="91"/>
      <c r="G119" s="88"/>
      <c r="H119" s="94"/>
      <c r="I119" s="94"/>
      <c r="J119" s="98"/>
      <c r="K119" s="98"/>
      <c r="L119" s="98"/>
      <c r="M119" s="98"/>
      <c r="N119" s="98"/>
      <c r="O119" s="98"/>
      <c r="P119" s="94"/>
      <c r="Q119" s="99"/>
      <c r="R119" s="94"/>
      <c r="S119" s="101"/>
      <c r="T119" s="101"/>
      <c r="U119" s="101"/>
      <c r="V119" s="101"/>
      <c r="W119" s="101"/>
      <c r="X119" s="101"/>
    </row>
    <row r="120">
      <c r="A120" s="66"/>
      <c r="B120" s="102"/>
      <c r="C120" s="67"/>
      <c r="D120" s="67"/>
      <c r="E120" s="67"/>
      <c r="F120" s="91"/>
      <c r="G120" s="88"/>
      <c r="H120" s="94"/>
      <c r="I120" s="94"/>
      <c r="J120" s="98"/>
      <c r="K120" s="98"/>
      <c r="L120" s="98"/>
      <c r="M120" s="98"/>
      <c r="N120" s="98"/>
      <c r="O120" s="98"/>
      <c r="P120" s="94"/>
      <c r="Q120" s="99"/>
      <c r="R120" s="94"/>
      <c r="S120" s="101"/>
      <c r="T120" s="101"/>
      <c r="U120" s="101"/>
      <c r="V120" s="101"/>
      <c r="W120" s="101"/>
      <c r="X120" s="101"/>
    </row>
    <row r="121">
      <c r="A121" s="66"/>
      <c r="B121" s="102"/>
      <c r="C121" s="67"/>
      <c r="D121" s="67"/>
      <c r="E121" s="67"/>
      <c r="F121" s="91"/>
      <c r="G121" s="88"/>
      <c r="H121" s="94"/>
      <c r="I121" s="94"/>
      <c r="J121" s="98"/>
      <c r="K121" s="98"/>
      <c r="L121" s="98"/>
      <c r="M121" s="98"/>
      <c r="N121" s="98"/>
      <c r="O121" s="98"/>
      <c r="P121" s="94"/>
      <c r="Q121" s="99"/>
      <c r="R121" s="94"/>
      <c r="S121" s="101"/>
      <c r="T121" s="101"/>
      <c r="U121" s="101"/>
      <c r="V121" s="101"/>
      <c r="W121" s="101"/>
      <c r="X121" s="101"/>
    </row>
    <row r="122">
      <c r="A122" s="66"/>
      <c r="B122" s="66"/>
      <c r="C122" s="67"/>
      <c r="D122" s="67"/>
      <c r="E122" s="67"/>
      <c r="F122" s="91"/>
      <c r="G122" s="88"/>
      <c r="H122" s="94"/>
      <c r="I122" s="94"/>
      <c r="J122" s="98"/>
      <c r="K122" s="98"/>
      <c r="L122" s="98"/>
      <c r="M122" s="98"/>
      <c r="N122" s="98"/>
      <c r="O122" s="98"/>
      <c r="P122" s="94"/>
      <c r="Q122" s="99"/>
      <c r="R122" s="94"/>
      <c r="S122" s="101"/>
      <c r="T122" s="101"/>
      <c r="U122" s="101"/>
      <c r="V122" s="101"/>
      <c r="W122" s="101"/>
      <c r="X122" s="101"/>
    </row>
    <row r="123">
      <c r="A123" s="66"/>
      <c r="B123" s="66"/>
      <c r="C123" s="67"/>
      <c r="D123" s="67"/>
      <c r="E123" s="67"/>
      <c r="F123" s="91"/>
      <c r="G123" s="88"/>
      <c r="H123" s="94"/>
      <c r="I123" s="94"/>
      <c r="J123" s="98"/>
      <c r="K123" s="98"/>
      <c r="L123" s="98"/>
      <c r="M123" s="98"/>
      <c r="N123" s="98"/>
      <c r="O123" s="98"/>
      <c r="P123" s="94"/>
      <c r="Q123" s="99"/>
      <c r="R123" s="94"/>
      <c r="S123" s="101"/>
      <c r="T123" s="101"/>
      <c r="U123" s="101"/>
      <c r="V123" s="101"/>
      <c r="W123" s="101"/>
      <c r="X123" s="101"/>
    </row>
    <row r="124">
      <c r="A124" s="66"/>
      <c r="B124" s="102"/>
      <c r="C124" s="67"/>
      <c r="D124" s="67"/>
      <c r="E124" s="67"/>
      <c r="F124" s="91"/>
      <c r="G124" s="88"/>
      <c r="H124" s="94"/>
      <c r="I124" s="94"/>
      <c r="J124" s="98"/>
      <c r="K124" s="98"/>
      <c r="L124" s="98"/>
      <c r="M124" s="98"/>
      <c r="N124" s="98"/>
      <c r="O124" s="98"/>
      <c r="P124" s="94"/>
      <c r="Q124" s="99"/>
      <c r="R124" s="94"/>
      <c r="S124" s="101"/>
      <c r="T124" s="101"/>
      <c r="U124" s="101"/>
      <c r="V124" s="101"/>
      <c r="W124" s="101"/>
      <c r="X124" s="101"/>
    </row>
    <row r="125">
      <c r="A125" s="66"/>
      <c r="B125" s="66"/>
      <c r="C125" s="67"/>
      <c r="D125" s="67"/>
      <c r="E125" s="67"/>
      <c r="F125" s="91"/>
      <c r="G125" s="88"/>
      <c r="H125" s="94"/>
      <c r="I125" s="94"/>
      <c r="J125" s="98"/>
      <c r="K125" s="98"/>
      <c r="L125" s="98"/>
      <c r="M125" s="98"/>
      <c r="N125" s="98"/>
      <c r="O125" s="98"/>
      <c r="P125" s="94"/>
      <c r="Q125" s="99"/>
      <c r="R125" s="94"/>
      <c r="S125" s="101"/>
      <c r="T125" s="101"/>
      <c r="U125" s="101"/>
      <c r="V125" s="101"/>
      <c r="W125" s="101"/>
      <c r="X125" s="101"/>
    </row>
    <row r="126">
      <c r="A126" s="66"/>
      <c r="B126" s="102"/>
      <c r="C126" s="67"/>
      <c r="D126" s="67"/>
      <c r="E126" s="67"/>
      <c r="F126" s="91"/>
      <c r="G126" s="88"/>
      <c r="H126" s="94"/>
      <c r="I126" s="94"/>
      <c r="J126" s="98"/>
      <c r="K126" s="98"/>
      <c r="L126" s="98"/>
      <c r="M126" s="98"/>
      <c r="N126" s="98"/>
      <c r="O126" s="98"/>
      <c r="P126" s="94"/>
      <c r="Q126" s="99"/>
      <c r="R126" s="94"/>
      <c r="S126" s="101"/>
      <c r="T126" s="101"/>
      <c r="U126" s="101"/>
      <c r="V126" s="101"/>
      <c r="W126" s="101"/>
      <c r="X126" s="101"/>
    </row>
    <row r="127">
      <c r="A127" s="66"/>
      <c r="B127" s="66"/>
      <c r="C127" s="67"/>
      <c r="D127" s="67"/>
      <c r="E127" s="67"/>
      <c r="F127" s="91"/>
      <c r="G127" s="88"/>
      <c r="H127" s="94"/>
      <c r="I127" s="94"/>
      <c r="J127" s="98"/>
      <c r="K127" s="98"/>
      <c r="L127" s="98"/>
      <c r="M127" s="98"/>
      <c r="N127" s="98"/>
      <c r="O127" s="98"/>
      <c r="P127" s="94"/>
      <c r="Q127" s="99"/>
      <c r="R127" s="94"/>
      <c r="S127" s="101"/>
      <c r="T127" s="101"/>
      <c r="U127" s="101"/>
      <c r="V127" s="101"/>
      <c r="W127" s="101"/>
      <c r="X127" s="101"/>
    </row>
    <row r="128">
      <c r="A128" s="66"/>
      <c r="B128" s="66"/>
      <c r="C128" s="67"/>
      <c r="D128" s="67"/>
      <c r="E128" s="67"/>
      <c r="F128" s="91"/>
      <c r="G128" s="88"/>
      <c r="H128" s="94"/>
      <c r="I128" s="94"/>
      <c r="J128" s="98"/>
      <c r="K128" s="98"/>
      <c r="L128" s="98"/>
      <c r="M128" s="98"/>
      <c r="N128" s="98"/>
      <c r="O128" s="98"/>
      <c r="P128" s="94"/>
      <c r="Q128" s="99"/>
      <c r="R128" s="94"/>
      <c r="S128" s="101"/>
      <c r="T128" s="101"/>
      <c r="U128" s="101"/>
      <c r="V128" s="101"/>
      <c r="W128" s="101"/>
      <c r="X128" s="101"/>
    </row>
    <row r="129">
      <c r="A129" s="66"/>
      <c r="B129" s="66"/>
      <c r="C129" s="67"/>
      <c r="D129" s="67"/>
      <c r="E129" s="67"/>
      <c r="F129" s="91"/>
      <c r="G129" s="88"/>
      <c r="H129" s="94"/>
      <c r="I129" s="94"/>
      <c r="J129" s="98"/>
      <c r="K129" s="98"/>
      <c r="L129" s="98"/>
      <c r="M129" s="98"/>
      <c r="N129" s="98"/>
      <c r="O129" s="98"/>
      <c r="P129" s="94"/>
      <c r="Q129" s="99"/>
      <c r="R129" s="94"/>
      <c r="S129" s="101"/>
      <c r="T129" s="101"/>
      <c r="U129" s="101"/>
      <c r="V129" s="101"/>
      <c r="W129" s="101"/>
      <c r="X129" s="101"/>
    </row>
    <row r="130">
      <c r="A130" s="66"/>
      <c r="B130" s="66"/>
      <c r="C130" s="67"/>
      <c r="D130" s="67"/>
      <c r="E130" s="67"/>
      <c r="F130" s="91"/>
      <c r="G130" s="88"/>
      <c r="H130" s="94"/>
      <c r="I130" s="94"/>
      <c r="J130" s="98"/>
      <c r="K130" s="98"/>
      <c r="L130" s="98"/>
      <c r="M130" s="98"/>
      <c r="N130" s="98"/>
      <c r="O130" s="98"/>
      <c r="P130" s="94"/>
      <c r="Q130" s="99"/>
      <c r="R130" s="94"/>
      <c r="S130" s="101"/>
      <c r="T130" s="101"/>
      <c r="U130" s="101"/>
      <c r="V130" s="101"/>
      <c r="W130" s="101"/>
      <c r="X130" s="101"/>
    </row>
    <row r="131">
      <c r="A131" s="66"/>
      <c r="B131" s="66"/>
      <c r="C131" s="67"/>
      <c r="D131" s="67"/>
      <c r="E131" s="67"/>
      <c r="F131" s="91"/>
      <c r="G131" s="88"/>
      <c r="H131" s="94"/>
      <c r="I131" s="94"/>
      <c r="J131" s="98"/>
      <c r="K131" s="98"/>
      <c r="L131" s="98"/>
      <c r="M131" s="98"/>
      <c r="N131" s="98"/>
      <c r="O131" s="98"/>
      <c r="P131" s="94"/>
      <c r="Q131" s="99"/>
      <c r="R131" s="94"/>
      <c r="S131" s="101"/>
      <c r="T131" s="101"/>
      <c r="U131" s="101"/>
      <c r="V131" s="101"/>
      <c r="W131" s="101"/>
      <c r="X131" s="101"/>
    </row>
    <row r="132">
      <c r="A132" s="66"/>
      <c r="B132" s="66"/>
      <c r="C132" s="67"/>
      <c r="D132" s="67"/>
      <c r="E132" s="67"/>
      <c r="F132" s="91"/>
      <c r="G132" s="88"/>
      <c r="H132" s="94"/>
      <c r="I132" s="94"/>
      <c r="J132" s="98"/>
      <c r="K132" s="98"/>
      <c r="L132" s="98"/>
      <c r="M132" s="98"/>
      <c r="N132" s="98"/>
      <c r="O132" s="98"/>
      <c r="P132" s="94"/>
      <c r="Q132" s="99"/>
      <c r="R132" s="94"/>
      <c r="S132" s="101"/>
      <c r="T132" s="101"/>
      <c r="U132" s="101"/>
      <c r="V132" s="101"/>
      <c r="W132" s="101"/>
      <c r="X132" s="101"/>
    </row>
    <row r="133">
      <c r="A133" s="66"/>
      <c r="B133" s="66"/>
      <c r="C133" s="67"/>
      <c r="D133" s="67"/>
      <c r="E133" s="67"/>
      <c r="F133" s="91"/>
      <c r="G133" s="88"/>
      <c r="H133" s="94"/>
      <c r="I133" s="94"/>
      <c r="J133" s="98"/>
      <c r="K133" s="98"/>
      <c r="L133" s="98"/>
      <c r="M133" s="98"/>
      <c r="N133" s="98"/>
      <c r="O133" s="98"/>
      <c r="P133" s="94"/>
      <c r="Q133" s="99"/>
      <c r="R133" s="94"/>
      <c r="S133" s="101"/>
      <c r="T133" s="101"/>
      <c r="U133" s="101"/>
      <c r="V133" s="101"/>
      <c r="W133" s="101"/>
      <c r="X133" s="101"/>
    </row>
    <row r="134">
      <c r="A134" s="66"/>
      <c r="B134" s="66"/>
      <c r="C134" s="67"/>
      <c r="D134" s="67"/>
      <c r="E134" s="67"/>
      <c r="F134" s="91"/>
      <c r="G134" s="88"/>
      <c r="H134" s="94"/>
      <c r="I134" s="94"/>
      <c r="J134" s="98"/>
      <c r="K134" s="98"/>
      <c r="L134" s="98"/>
      <c r="M134" s="98"/>
      <c r="N134" s="98"/>
      <c r="O134" s="98"/>
      <c r="P134" s="94"/>
      <c r="Q134" s="99"/>
      <c r="R134" s="94"/>
      <c r="S134" s="101"/>
      <c r="T134" s="101"/>
      <c r="U134" s="101"/>
      <c r="V134" s="101"/>
      <c r="W134" s="101"/>
      <c r="X134" s="101"/>
    </row>
    <row r="135">
      <c r="A135" s="66"/>
      <c r="B135" s="66"/>
      <c r="C135" s="67"/>
      <c r="D135" s="67"/>
      <c r="E135" s="67"/>
      <c r="F135" s="91"/>
      <c r="G135" s="88"/>
      <c r="H135" s="94"/>
      <c r="I135" s="94"/>
      <c r="J135" s="98"/>
      <c r="K135" s="98"/>
      <c r="L135" s="98"/>
      <c r="M135" s="98"/>
      <c r="N135" s="98"/>
      <c r="O135" s="98"/>
      <c r="P135" s="94"/>
      <c r="Q135" s="99"/>
      <c r="R135" s="94"/>
      <c r="S135" s="101"/>
      <c r="T135" s="101"/>
      <c r="U135" s="101"/>
      <c r="V135" s="101"/>
      <c r="W135" s="101"/>
      <c r="X135" s="101"/>
    </row>
    <row r="136">
      <c r="A136" s="66"/>
      <c r="B136" s="66"/>
      <c r="C136" s="67"/>
      <c r="D136" s="67"/>
      <c r="E136" s="67"/>
      <c r="F136" s="91"/>
      <c r="G136" s="88"/>
      <c r="H136" s="94"/>
      <c r="I136" s="94"/>
      <c r="J136" s="98"/>
      <c r="K136" s="98"/>
      <c r="L136" s="98"/>
      <c r="M136" s="98"/>
      <c r="N136" s="98"/>
      <c r="O136" s="98"/>
      <c r="P136" s="94"/>
      <c r="Q136" s="99"/>
      <c r="R136" s="94"/>
      <c r="S136" s="101"/>
      <c r="T136" s="101"/>
      <c r="U136" s="101"/>
      <c r="V136" s="101"/>
      <c r="W136" s="101"/>
      <c r="X136" s="101"/>
    </row>
    <row r="137">
      <c r="A137" s="66"/>
      <c r="B137" s="66"/>
      <c r="C137" s="67"/>
      <c r="D137" s="67"/>
      <c r="E137" s="67"/>
      <c r="F137" s="91"/>
      <c r="G137" s="88"/>
      <c r="H137" s="94"/>
      <c r="I137" s="94"/>
      <c r="J137" s="98"/>
      <c r="K137" s="98"/>
      <c r="L137" s="98"/>
      <c r="M137" s="98"/>
      <c r="N137" s="98"/>
      <c r="O137" s="98"/>
      <c r="P137" s="94"/>
      <c r="Q137" s="99"/>
      <c r="R137" s="94"/>
      <c r="S137" s="101"/>
      <c r="T137" s="101"/>
      <c r="U137" s="101"/>
      <c r="V137" s="101"/>
      <c r="W137" s="101"/>
      <c r="X137" s="101"/>
    </row>
    <row r="138">
      <c r="A138" s="66"/>
      <c r="B138" s="66"/>
      <c r="C138" s="67"/>
      <c r="D138" s="67"/>
      <c r="E138" s="67"/>
      <c r="F138" s="91"/>
      <c r="G138" s="88"/>
      <c r="H138" s="94"/>
      <c r="I138" s="94"/>
      <c r="J138" s="98"/>
      <c r="K138" s="98"/>
      <c r="L138" s="98"/>
      <c r="M138" s="98"/>
      <c r="N138" s="98"/>
      <c r="O138" s="98"/>
      <c r="P138" s="94"/>
      <c r="Q138" s="99"/>
      <c r="R138" s="94"/>
      <c r="S138" s="101"/>
      <c r="T138" s="101"/>
      <c r="U138" s="101"/>
      <c r="V138" s="101"/>
      <c r="W138" s="101"/>
      <c r="X138" s="101"/>
    </row>
    <row r="139">
      <c r="A139" s="66"/>
      <c r="B139" s="66"/>
      <c r="C139" s="67"/>
      <c r="D139" s="67"/>
      <c r="E139" s="67"/>
      <c r="F139" s="91"/>
      <c r="G139" s="88"/>
      <c r="H139" s="94"/>
      <c r="I139" s="94"/>
      <c r="J139" s="98"/>
      <c r="K139" s="98"/>
      <c r="L139" s="98"/>
      <c r="M139" s="98"/>
      <c r="N139" s="98"/>
      <c r="O139" s="98"/>
      <c r="P139" s="94"/>
      <c r="Q139" s="99"/>
      <c r="R139" s="94"/>
      <c r="S139" s="101"/>
      <c r="T139" s="101"/>
      <c r="U139" s="101"/>
      <c r="V139" s="101"/>
      <c r="W139" s="101"/>
      <c r="X139" s="101"/>
    </row>
    <row r="140">
      <c r="A140" s="66"/>
      <c r="B140" s="66"/>
      <c r="C140" s="67"/>
      <c r="D140" s="67"/>
      <c r="E140" s="67"/>
      <c r="F140" s="91"/>
      <c r="G140" s="88"/>
      <c r="H140" s="94"/>
      <c r="I140" s="94"/>
      <c r="J140" s="98"/>
      <c r="K140" s="98"/>
      <c r="L140" s="98"/>
      <c r="M140" s="98"/>
      <c r="N140" s="98"/>
      <c r="O140" s="98"/>
      <c r="P140" s="94"/>
      <c r="Q140" s="99"/>
      <c r="R140" s="94"/>
      <c r="S140" s="101"/>
      <c r="T140" s="101"/>
      <c r="U140" s="101"/>
      <c r="V140" s="101"/>
      <c r="W140" s="101"/>
      <c r="X140" s="101"/>
    </row>
    <row r="141">
      <c r="A141" s="66"/>
      <c r="B141" s="66"/>
      <c r="C141" s="67"/>
      <c r="D141" s="67"/>
      <c r="E141" s="67"/>
      <c r="F141" s="91"/>
      <c r="G141" s="88"/>
      <c r="H141" s="94"/>
      <c r="I141" s="94"/>
      <c r="J141" s="98"/>
      <c r="K141" s="98"/>
      <c r="L141" s="98"/>
      <c r="M141" s="98"/>
      <c r="N141" s="98"/>
      <c r="O141" s="98"/>
      <c r="P141" s="94"/>
      <c r="Q141" s="99"/>
      <c r="R141" s="94"/>
      <c r="S141" s="101"/>
      <c r="T141" s="101"/>
      <c r="U141" s="101"/>
      <c r="V141" s="101"/>
      <c r="W141" s="101"/>
      <c r="X141" s="101"/>
    </row>
    <row r="142">
      <c r="A142" s="66"/>
      <c r="B142" s="66"/>
      <c r="C142" s="67"/>
      <c r="D142" s="67"/>
      <c r="E142" s="67"/>
      <c r="F142" s="61"/>
      <c r="G142" s="62"/>
      <c r="H142" s="87"/>
      <c r="I142" s="66"/>
      <c r="J142" s="98"/>
      <c r="K142" s="93"/>
      <c r="L142" s="93"/>
      <c r="M142" s="93"/>
      <c r="N142" s="93"/>
      <c r="O142" s="93"/>
      <c r="P142" s="66"/>
      <c r="Q142" s="105"/>
      <c r="R142" s="94"/>
      <c r="S142" s="101"/>
    </row>
    <row r="143">
      <c r="A143" s="66"/>
      <c r="B143" s="66"/>
      <c r="C143" s="67"/>
      <c r="D143" s="67"/>
      <c r="E143" s="67"/>
      <c r="F143" s="61"/>
      <c r="G143" s="62"/>
      <c r="H143" s="87"/>
      <c r="I143" s="66"/>
      <c r="J143" s="98"/>
      <c r="K143" s="93"/>
      <c r="L143" s="93"/>
      <c r="M143" s="93"/>
      <c r="N143" s="93"/>
      <c r="O143" s="93"/>
      <c r="P143" s="73"/>
      <c r="Q143" s="105"/>
      <c r="R143" s="94"/>
      <c r="S143" s="101"/>
    </row>
    <row r="144">
      <c r="A144" s="66"/>
      <c r="B144" s="66"/>
      <c r="C144" s="67"/>
      <c r="D144" s="67"/>
      <c r="E144" s="67"/>
      <c r="F144" s="61"/>
      <c r="G144" s="62"/>
      <c r="H144" s="87"/>
      <c r="I144" s="66"/>
      <c r="J144" s="98"/>
      <c r="K144" s="93"/>
      <c r="L144" s="93"/>
      <c r="M144" s="93"/>
      <c r="N144" s="93"/>
      <c r="O144" s="93"/>
      <c r="P144" s="73"/>
      <c r="Q144" s="105"/>
      <c r="R144" s="94"/>
      <c r="S144" s="101"/>
    </row>
    <row r="145">
      <c r="A145" s="66"/>
      <c r="B145" s="102"/>
      <c r="C145" s="67"/>
      <c r="D145" s="67"/>
      <c r="E145" s="67"/>
      <c r="F145" s="61"/>
      <c r="G145" s="62"/>
      <c r="H145" s="87"/>
      <c r="I145" s="66"/>
      <c r="J145" s="98"/>
      <c r="K145" s="93"/>
      <c r="L145" s="93"/>
      <c r="M145" s="93"/>
      <c r="N145" s="93"/>
      <c r="O145" s="93"/>
      <c r="P145" s="66"/>
      <c r="Q145" s="105"/>
      <c r="R145" s="94"/>
      <c r="S145" s="101"/>
    </row>
    <row r="146">
      <c r="A146" s="66"/>
      <c r="B146" s="102"/>
      <c r="C146" s="67"/>
      <c r="D146" s="67"/>
      <c r="E146" s="67"/>
      <c r="F146" s="61"/>
      <c r="G146" s="62"/>
      <c r="H146" s="87"/>
      <c r="I146" s="66"/>
      <c r="J146" s="98"/>
      <c r="K146" s="93"/>
      <c r="L146" s="93"/>
      <c r="M146" s="93"/>
      <c r="N146" s="93"/>
      <c r="O146" s="93"/>
      <c r="P146" s="66"/>
      <c r="Q146" s="105"/>
      <c r="R146" s="94"/>
      <c r="S146" s="101"/>
    </row>
    <row r="147">
      <c r="A147" s="66"/>
      <c r="B147" s="66"/>
      <c r="C147" s="67"/>
      <c r="D147" s="67"/>
      <c r="E147" s="67"/>
      <c r="F147" s="61"/>
      <c r="G147" s="62"/>
      <c r="H147" s="87"/>
      <c r="I147" s="66"/>
      <c r="J147" s="98"/>
      <c r="K147" s="93"/>
      <c r="L147" s="93"/>
      <c r="M147" s="93"/>
      <c r="N147" s="93"/>
      <c r="O147" s="93"/>
      <c r="P147" s="73"/>
      <c r="Q147" s="105"/>
      <c r="R147" s="94"/>
      <c r="S147" s="101"/>
    </row>
    <row r="148">
      <c r="A148" s="66"/>
      <c r="B148" s="102"/>
      <c r="C148" s="67"/>
      <c r="D148" s="67"/>
      <c r="E148" s="67"/>
      <c r="F148" s="61"/>
      <c r="G148" s="62"/>
      <c r="H148" s="87"/>
      <c r="I148" s="66"/>
      <c r="J148" s="98"/>
      <c r="K148" s="93"/>
      <c r="L148" s="93"/>
      <c r="M148" s="93"/>
      <c r="N148" s="93"/>
      <c r="O148" s="93"/>
      <c r="P148" s="66"/>
      <c r="Q148" s="105"/>
      <c r="R148" s="94"/>
      <c r="S148" s="101"/>
    </row>
    <row r="149">
      <c r="A149" s="66"/>
      <c r="B149" s="66"/>
      <c r="C149" s="67"/>
      <c r="D149" s="67"/>
      <c r="E149" s="67"/>
      <c r="F149" s="61"/>
      <c r="G149" s="62"/>
      <c r="H149" s="87"/>
      <c r="I149" s="66"/>
      <c r="J149" s="98"/>
      <c r="K149" s="93"/>
      <c r="L149" s="93"/>
      <c r="M149" s="93"/>
      <c r="N149" s="93"/>
      <c r="O149" s="93"/>
      <c r="P149" s="66"/>
      <c r="Q149" s="105"/>
      <c r="R149" s="94"/>
      <c r="S149" s="101"/>
    </row>
    <row r="150">
      <c r="A150" s="66"/>
      <c r="B150" s="66"/>
      <c r="C150" s="67"/>
      <c r="D150" s="67"/>
      <c r="E150" s="67"/>
      <c r="F150" s="61"/>
      <c r="G150" s="62"/>
      <c r="H150" s="87"/>
      <c r="I150" s="66"/>
      <c r="J150" s="98"/>
      <c r="K150" s="93"/>
      <c r="L150" s="93"/>
      <c r="M150" s="93"/>
      <c r="N150" s="93"/>
      <c r="O150" s="93"/>
      <c r="P150" s="73"/>
      <c r="Q150" s="105"/>
      <c r="R150" s="94"/>
      <c r="S150" s="101"/>
    </row>
    <row r="151">
      <c r="A151" s="66"/>
      <c r="B151" s="102"/>
      <c r="C151" s="67"/>
      <c r="D151" s="67"/>
      <c r="E151" s="67"/>
      <c r="F151" s="61"/>
      <c r="G151" s="62"/>
      <c r="H151" s="87"/>
      <c r="I151" s="66"/>
      <c r="J151" s="98"/>
      <c r="K151" s="93"/>
      <c r="L151" s="93"/>
      <c r="M151" s="93"/>
      <c r="N151" s="93"/>
      <c r="O151" s="93"/>
      <c r="P151" s="73"/>
      <c r="Q151" s="105"/>
      <c r="R151" s="94"/>
      <c r="S151" s="101"/>
    </row>
    <row r="152">
      <c r="A152" s="66"/>
      <c r="B152" s="66"/>
      <c r="C152" s="67"/>
      <c r="D152" s="67"/>
      <c r="E152" s="67"/>
      <c r="F152" s="61"/>
      <c r="G152" s="62"/>
      <c r="H152" s="87"/>
      <c r="I152" s="66"/>
      <c r="J152" s="98"/>
      <c r="K152" s="93"/>
      <c r="L152" s="93"/>
      <c r="M152" s="93"/>
      <c r="N152" s="93"/>
      <c r="O152" s="93"/>
      <c r="P152" s="66"/>
      <c r="Q152" s="106"/>
      <c r="R152" s="94"/>
      <c r="S152" s="101"/>
    </row>
    <row r="153">
      <c r="A153" s="66"/>
      <c r="B153" s="66"/>
      <c r="C153" s="67"/>
      <c r="D153" s="67"/>
      <c r="E153" s="67"/>
      <c r="F153" s="61"/>
      <c r="G153" s="62"/>
      <c r="H153" s="87"/>
      <c r="I153" s="66"/>
      <c r="J153" s="98"/>
      <c r="K153" s="93"/>
      <c r="L153" s="93"/>
      <c r="M153" s="93"/>
      <c r="N153" s="93"/>
      <c r="O153" s="93"/>
      <c r="P153" s="66"/>
      <c r="Q153" s="105"/>
      <c r="R153" s="94"/>
      <c r="S153" s="101"/>
    </row>
    <row r="154">
      <c r="A154" s="66"/>
      <c r="B154" s="102"/>
      <c r="C154" s="67"/>
      <c r="D154" s="67"/>
      <c r="E154" s="67"/>
      <c r="F154" s="61"/>
      <c r="G154" s="62"/>
      <c r="H154" s="87"/>
      <c r="I154" s="66"/>
      <c r="J154" s="98"/>
      <c r="K154" s="93"/>
      <c r="L154" s="93"/>
      <c r="M154" s="93"/>
      <c r="N154" s="93"/>
      <c r="O154" s="93"/>
      <c r="P154" s="73"/>
      <c r="Q154" s="105"/>
      <c r="R154" s="94"/>
      <c r="S154" s="101"/>
    </row>
    <row r="155">
      <c r="A155" s="66"/>
      <c r="B155" s="102"/>
      <c r="C155" s="67"/>
      <c r="D155" s="67"/>
      <c r="E155" s="67"/>
      <c r="F155" s="61"/>
      <c r="G155" s="62"/>
      <c r="H155" s="87"/>
      <c r="I155" s="66"/>
      <c r="J155" s="98"/>
      <c r="K155" s="93"/>
      <c r="L155" s="93"/>
      <c r="M155" s="93"/>
      <c r="N155" s="93"/>
      <c r="O155" s="93"/>
      <c r="P155" s="73"/>
      <c r="Q155" s="105"/>
      <c r="R155" s="94"/>
      <c r="S155" s="101"/>
    </row>
    <row r="156">
      <c r="A156" s="66"/>
      <c r="B156" s="66"/>
      <c r="C156" s="67"/>
      <c r="D156" s="67"/>
      <c r="E156" s="67"/>
      <c r="F156" s="61"/>
      <c r="G156" s="62"/>
      <c r="H156" s="87"/>
      <c r="I156" s="66"/>
      <c r="J156" s="98"/>
      <c r="K156" s="93"/>
      <c r="L156" s="93"/>
      <c r="M156" s="93"/>
      <c r="N156" s="93"/>
      <c r="O156" s="93"/>
      <c r="P156" s="66"/>
      <c r="Q156" s="105"/>
      <c r="R156" s="94"/>
      <c r="S156" s="101"/>
    </row>
    <row r="157">
      <c r="A157" s="66"/>
      <c r="B157" s="66"/>
      <c r="C157" s="67"/>
      <c r="D157" s="67"/>
      <c r="E157" s="67"/>
      <c r="F157" s="61"/>
      <c r="G157" s="62"/>
      <c r="H157" s="87"/>
      <c r="I157" s="66"/>
      <c r="J157" s="98"/>
      <c r="K157" s="93"/>
      <c r="L157" s="93"/>
      <c r="M157" s="93"/>
      <c r="N157" s="93"/>
      <c r="O157" s="93"/>
      <c r="P157" s="73"/>
      <c r="Q157" s="106"/>
      <c r="R157" s="94"/>
      <c r="S157" s="101"/>
    </row>
    <row r="158">
      <c r="A158" s="66"/>
      <c r="B158" s="66"/>
      <c r="C158" s="67"/>
      <c r="D158" s="67"/>
      <c r="E158" s="67"/>
      <c r="F158" s="61"/>
      <c r="G158" s="62"/>
      <c r="H158" s="87"/>
      <c r="I158" s="66"/>
      <c r="J158" s="98"/>
      <c r="K158" s="93"/>
      <c r="L158" s="93"/>
      <c r="M158" s="93"/>
      <c r="N158" s="93"/>
      <c r="O158" s="93"/>
      <c r="P158" s="73"/>
      <c r="Q158" s="105"/>
      <c r="R158" s="94"/>
      <c r="S158" s="101"/>
    </row>
    <row r="159">
      <c r="A159" s="66"/>
      <c r="B159" s="66"/>
      <c r="C159" s="67"/>
      <c r="D159" s="67"/>
      <c r="E159" s="67"/>
      <c r="F159" s="61"/>
      <c r="G159" s="62"/>
      <c r="H159" s="87"/>
      <c r="I159" s="66"/>
      <c r="J159" s="98"/>
      <c r="K159" s="93"/>
      <c r="L159" s="93"/>
      <c r="M159" s="93"/>
      <c r="N159" s="93"/>
      <c r="O159" s="93"/>
      <c r="P159" s="73"/>
      <c r="Q159" s="105"/>
      <c r="R159" s="94"/>
      <c r="S159" s="101"/>
    </row>
    <row r="160">
      <c r="A160" s="66"/>
      <c r="B160" s="66"/>
      <c r="C160" s="67"/>
      <c r="D160" s="67"/>
      <c r="E160" s="67"/>
      <c r="F160" s="61"/>
      <c r="G160" s="62"/>
      <c r="H160" s="87"/>
      <c r="I160" s="66"/>
      <c r="J160" s="98"/>
      <c r="K160" s="93"/>
      <c r="L160" s="93"/>
      <c r="M160" s="93"/>
      <c r="N160" s="93"/>
      <c r="O160" s="93"/>
      <c r="P160" s="73"/>
      <c r="Q160" s="105"/>
      <c r="R160" s="94"/>
      <c r="S160" s="101"/>
    </row>
    <row r="161">
      <c r="A161" s="66"/>
      <c r="B161" s="66"/>
      <c r="C161" s="67"/>
      <c r="D161" s="67"/>
      <c r="E161" s="67"/>
      <c r="F161" s="61"/>
      <c r="G161" s="62"/>
      <c r="H161" s="87"/>
      <c r="I161" s="66"/>
      <c r="J161" s="98"/>
      <c r="K161" s="93"/>
      <c r="L161" s="93"/>
      <c r="M161" s="93"/>
      <c r="N161" s="93"/>
      <c r="O161" s="93"/>
      <c r="P161" s="66"/>
      <c r="Q161" s="105"/>
      <c r="R161" s="94"/>
      <c r="S161" s="101"/>
    </row>
    <row r="162">
      <c r="A162" s="66"/>
      <c r="B162" s="66"/>
      <c r="C162" s="67"/>
      <c r="D162" s="67"/>
      <c r="E162" s="67"/>
      <c r="F162" s="61"/>
      <c r="G162" s="62"/>
      <c r="H162" s="87"/>
      <c r="I162" s="66"/>
      <c r="J162" s="98"/>
      <c r="K162" s="93"/>
      <c r="L162" s="93"/>
      <c r="M162" s="93"/>
      <c r="N162" s="93"/>
      <c r="O162" s="93"/>
      <c r="P162" s="73"/>
      <c r="Q162" s="105"/>
      <c r="R162" s="94"/>
      <c r="S162" s="101"/>
    </row>
    <row r="163">
      <c r="A163" s="66"/>
      <c r="B163" s="66"/>
      <c r="C163" s="67"/>
      <c r="D163" s="67"/>
      <c r="E163" s="67"/>
      <c r="F163" s="61"/>
      <c r="G163" s="62"/>
      <c r="H163" s="87"/>
      <c r="I163" s="66"/>
      <c r="J163" s="98"/>
      <c r="K163" s="93"/>
      <c r="L163" s="93"/>
      <c r="M163" s="93"/>
      <c r="N163" s="93"/>
      <c r="O163" s="93"/>
      <c r="P163" s="73"/>
      <c r="Q163" s="105"/>
      <c r="R163" s="94"/>
      <c r="S163" s="101"/>
    </row>
    <row r="164">
      <c r="A164" s="66"/>
      <c r="B164" s="102"/>
      <c r="C164" s="67"/>
      <c r="D164" s="67"/>
      <c r="E164" s="67"/>
      <c r="F164" s="61"/>
      <c r="G164" s="62"/>
      <c r="H164" s="87"/>
      <c r="I164" s="66"/>
      <c r="J164" s="98"/>
      <c r="K164" s="93"/>
      <c r="L164" s="93"/>
      <c r="M164" s="93"/>
      <c r="N164" s="93"/>
      <c r="O164" s="93"/>
      <c r="P164" s="66"/>
      <c r="Q164" s="105"/>
      <c r="R164" s="94"/>
      <c r="S164" s="101"/>
    </row>
    <row r="165">
      <c r="A165" s="66"/>
      <c r="B165" s="66"/>
      <c r="C165" s="67"/>
      <c r="D165" s="67"/>
      <c r="E165" s="67"/>
      <c r="F165" s="61"/>
      <c r="G165" s="62"/>
      <c r="H165" s="87"/>
      <c r="I165" s="66"/>
      <c r="J165" s="98"/>
      <c r="K165" s="93"/>
      <c r="L165" s="93"/>
      <c r="M165" s="93"/>
      <c r="N165" s="93"/>
      <c r="O165" s="93"/>
      <c r="P165" s="73"/>
      <c r="Q165" s="105"/>
      <c r="R165" s="94"/>
      <c r="S165" s="101"/>
    </row>
    <row r="166">
      <c r="A166" s="66"/>
      <c r="B166" s="66"/>
      <c r="C166" s="67"/>
      <c r="D166" s="67"/>
      <c r="E166" s="67"/>
      <c r="F166" s="61"/>
      <c r="G166" s="62"/>
      <c r="H166" s="87"/>
      <c r="I166" s="66"/>
      <c r="J166" s="98"/>
      <c r="K166" s="93"/>
      <c r="L166" s="93"/>
      <c r="M166" s="93"/>
      <c r="N166" s="93"/>
      <c r="O166" s="93"/>
      <c r="P166" s="66"/>
      <c r="Q166" s="105"/>
      <c r="R166" s="94"/>
      <c r="S166" s="101"/>
    </row>
    <row r="167">
      <c r="A167" s="66"/>
      <c r="B167" s="66"/>
      <c r="C167" s="67"/>
      <c r="D167" s="67"/>
      <c r="E167" s="67"/>
      <c r="F167" s="61"/>
      <c r="G167" s="62"/>
      <c r="H167" s="87"/>
      <c r="I167" s="66"/>
      <c r="J167" s="98"/>
      <c r="K167" s="93"/>
      <c r="L167" s="93"/>
      <c r="M167" s="93"/>
      <c r="N167" s="93"/>
      <c r="O167" s="93"/>
      <c r="P167" s="73"/>
      <c r="Q167" s="105"/>
      <c r="R167" s="94"/>
      <c r="S167" s="101"/>
    </row>
    <row r="168">
      <c r="A168" s="66"/>
      <c r="B168" s="66"/>
      <c r="C168" s="67"/>
      <c r="D168" s="67"/>
      <c r="E168" s="67"/>
      <c r="F168" s="61"/>
      <c r="G168" s="62"/>
      <c r="H168" s="87"/>
      <c r="I168" s="66"/>
      <c r="J168" s="98"/>
      <c r="K168" s="93"/>
      <c r="L168" s="93"/>
      <c r="M168" s="93"/>
      <c r="N168" s="93"/>
      <c r="O168" s="93"/>
      <c r="P168" s="73"/>
      <c r="Q168" s="105"/>
      <c r="R168" s="94"/>
      <c r="S168" s="101"/>
    </row>
    <row r="169">
      <c r="A169" s="66"/>
      <c r="B169" s="66"/>
      <c r="C169" s="67"/>
      <c r="D169" s="67"/>
      <c r="E169" s="67"/>
      <c r="F169" s="61"/>
      <c r="G169" s="62"/>
      <c r="H169" s="87"/>
      <c r="I169" s="66"/>
      <c r="J169" s="98"/>
      <c r="K169" s="93"/>
      <c r="L169" s="93"/>
      <c r="M169" s="93"/>
      <c r="N169" s="93"/>
      <c r="O169" s="93"/>
      <c r="P169" s="73"/>
      <c r="Q169" s="105"/>
      <c r="R169" s="94"/>
      <c r="S169" s="101"/>
    </row>
    <row r="170">
      <c r="A170" s="66"/>
      <c r="B170" s="66"/>
      <c r="C170" s="67"/>
      <c r="D170" s="67"/>
      <c r="E170" s="67"/>
      <c r="F170" s="61"/>
      <c r="G170" s="62"/>
      <c r="H170" s="87"/>
      <c r="I170" s="66"/>
      <c r="J170" s="98"/>
      <c r="K170" s="93"/>
      <c r="L170" s="93"/>
      <c r="M170" s="93"/>
      <c r="N170" s="93"/>
      <c r="O170" s="93"/>
      <c r="P170" s="66"/>
      <c r="Q170" s="105"/>
      <c r="R170" s="94"/>
      <c r="S170" s="101"/>
    </row>
    <row r="171">
      <c r="A171" s="66"/>
      <c r="B171" s="102"/>
      <c r="C171" s="67"/>
      <c r="D171" s="67"/>
      <c r="E171" s="67"/>
      <c r="F171" s="61"/>
      <c r="G171" s="62"/>
      <c r="H171" s="87"/>
      <c r="I171" s="66"/>
      <c r="J171" s="98"/>
      <c r="K171" s="93"/>
      <c r="L171" s="93"/>
      <c r="M171" s="93"/>
      <c r="N171" s="93"/>
      <c r="O171" s="93"/>
      <c r="P171" s="66"/>
      <c r="Q171" s="105"/>
      <c r="R171" s="94"/>
      <c r="S171" s="101"/>
    </row>
    <row r="172">
      <c r="A172" s="66"/>
      <c r="B172" s="66"/>
      <c r="C172" s="67"/>
      <c r="D172" s="67"/>
      <c r="E172" s="67"/>
      <c r="F172" s="61"/>
      <c r="G172" s="62"/>
      <c r="H172" s="87"/>
      <c r="I172" s="66"/>
      <c r="J172" s="98"/>
      <c r="K172" s="93"/>
      <c r="L172" s="93"/>
      <c r="M172" s="93"/>
      <c r="N172" s="93"/>
      <c r="O172" s="93"/>
      <c r="P172" s="66"/>
      <c r="Q172" s="105"/>
      <c r="R172" s="94"/>
      <c r="S172" s="101"/>
    </row>
    <row r="173">
      <c r="A173" s="66"/>
      <c r="B173" s="66"/>
      <c r="C173" s="67"/>
      <c r="D173" s="67"/>
      <c r="E173" s="67"/>
      <c r="F173" s="61"/>
      <c r="G173" s="62"/>
      <c r="H173" s="87"/>
      <c r="I173" s="66"/>
      <c r="J173" s="98"/>
      <c r="K173" s="93"/>
      <c r="L173" s="93"/>
      <c r="M173" s="93"/>
      <c r="N173" s="93"/>
      <c r="O173" s="93"/>
      <c r="P173" s="66"/>
      <c r="Q173" s="105"/>
      <c r="R173" s="94"/>
      <c r="S173" s="101"/>
    </row>
    <row r="174">
      <c r="A174" s="66"/>
      <c r="B174" s="66"/>
      <c r="C174" s="67"/>
      <c r="D174" s="67"/>
      <c r="E174" s="67"/>
      <c r="F174" s="61"/>
      <c r="G174" s="62"/>
      <c r="H174" s="87"/>
      <c r="I174" s="66"/>
      <c r="J174" s="98"/>
      <c r="K174" s="93"/>
      <c r="L174" s="93"/>
      <c r="M174" s="93"/>
      <c r="N174" s="93"/>
      <c r="O174" s="93"/>
      <c r="P174" s="66"/>
      <c r="Q174" s="105"/>
      <c r="R174" s="94"/>
      <c r="S174" s="101"/>
    </row>
    <row r="175">
      <c r="A175" s="66"/>
      <c r="B175" s="66"/>
      <c r="C175" s="67"/>
      <c r="D175" s="67"/>
      <c r="E175" s="67"/>
      <c r="F175" s="61"/>
      <c r="G175" s="62"/>
      <c r="H175" s="87"/>
      <c r="I175" s="66"/>
      <c r="J175" s="98"/>
      <c r="K175" s="93"/>
      <c r="L175" s="93"/>
      <c r="M175" s="93"/>
      <c r="N175" s="93"/>
      <c r="O175" s="93"/>
      <c r="P175" s="66"/>
      <c r="Q175" s="105"/>
      <c r="R175" s="94"/>
      <c r="S175" s="101"/>
    </row>
    <row r="176">
      <c r="A176" s="66"/>
      <c r="B176" s="66"/>
      <c r="C176" s="67"/>
      <c r="D176" s="67"/>
      <c r="E176" s="67"/>
      <c r="F176" s="61"/>
      <c r="G176" s="62"/>
      <c r="H176" s="87"/>
      <c r="I176" s="66"/>
      <c r="J176" s="98"/>
      <c r="K176" s="93"/>
      <c r="L176" s="93"/>
      <c r="M176" s="93"/>
      <c r="N176" s="93"/>
      <c r="O176" s="93"/>
      <c r="P176" s="66"/>
      <c r="Q176" s="105"/>
      <c r="R176" s="94"/>
      <c r="S176" s="101"/>
    </row>
    <row r="177">
      <c r="A177" s="66"/>
      <c r="B177" s="102"/>
      <c r="C177" s="67"/>
      <c r="D177" s="67"/>
      <c r="E177" s="67"/>
      <c r="F177" s="61"/>
      <c r="G177" s="62"/>
      <c r="H177" s="87"/>
      <c r="I177" s="66"/>
      <c r="J177" s="98"/>
      <c r="K177" s="93"/>
      <c r="L177" s="93"/>
      <c r="M177" s="93"/>
      <c r="N177" s="93"/>
      <c r="O177" s="93"/>
      <c r="P177" s="73"/>
      <c r="Q177" s="105"/>
      <c r="R177" s="94"/>
      <c r="S177" s="101"/>
    </row>
    <row r="178">
      <c r="A178" s="66"/>
      <c r="B178" s="66"/>
      <c r="C178" s="67"/>
      <c r="D178" s="67"/>
      <c r="E178" s="67"/>
      <c r="F178" s="61"/>
      <c r="G178" s="62"/>
      <c r="H178" s="87"/>
      <c r="I178" s="66"/>
      <c r="J178" s="98"/>
      <c r="K178" s="93"/>
      <c r="L178" s="93"/>
      <c r="M178" s="93"/>
      <c r="N178" s="93"/>
      <c r="O178" s="93"/>
      <c r="P178" s="73"/>
      <c r="Q178" s="105"/>
      <c r="R178" s="94"/>
      <c r="S178" s="101"/>
    </row>
    <row r="179">
      <c r="A179" s="66"/>
      <c r="B179" s="66"/>
      <c r="C179" s="67"/>
      <c r="D179" s="67"/>
      <c r="E179" s="67"/>
      <c r="F179" s="61"/>
      <c r="G179" s="62"/>
      <c r="H179" s="87"/>
      <c r="I179" s="66"/>
      <c r="J179" s="98"/>
      <c r="K179" s="93"/>
      <c r="L179" s="93"/>
      <c r="M179" s="93"/>
      <c r="N179" s="93"/>
      <c r="O179" s="93"/>
      <c r="P179" s="73"/>
      <c r="Q179" s="105"/>
      <c r="R179" s="94"/>
      <c r="S179" s="101"/>
    </row>
    <row r="180">
      <c r="A180" s="66"/>
      <c r="B180" s="66"/>
      <c r="C180" s="67"/>
      <c r="D180" s="67"/>
      <c r="E180" s="67"/>
      <c r="F180" s="61"/>
      <c r="G180" s="62"/>
      <c r="H180" s="87"/>
      <c r="I180" s="66"/>
      <c r="J180" s="98"/>
      <c r="K180" s="93"/>
      <c r="L180" s="93"/>
      <c r="M180" s="93"/>
      <c r="N180" s="93"/>
      <c r="O180" s="93"/>
      <c r="P180" s="73"/>
      <c r="Q180" s="105"/>
      <c r="R180" s="94"/>
      <c r="S180" s="101"/>
    </row>
    <row r="181">
      <c r="A181" s="66"/>
      <c r="B181" s="66"/>
      <c r="C181" s="67"/>
      <c r="D181" s="67"/>
      <c r="E181" s="67"/>
      <c r="F181" s="61"/>
      <c r="G181" s="62"/>
      <c r="H181" s="87"/>
      <c r="I181" s="66"/>
      <c r="J181" s="98"/>
      <c r="K181" s="93"/>
      <c r="L181" s="93"/>
      <c r="M181" s="93"/>
      <c r="N181" s="93"/>
      <c r="O181" s="93"/>
      <c r="P181" s="73"/>
      <c r="Q181" s="105"/>
      <c r="R181" s="94"/>
      <c r="S181" s="101"/>
    </row>
    <row r="182">
      <c r="A182" s="66"/>
      <c r="B182" s="66"/>
      <c r="C182" s="67"/>
      <c r="D182" s="67"/>
      <c r="E182" s="67"/>
      <c r="F182" s="61"/>
      <c r="G182" s="62"/>
      <c r="H182" s="87"/>
      <c r="I182" s="66"/>
      <c r="J182" s="98"/>
      <c r="K182" s="93"/>
      <c r="L182" s="93"/>
      <c r="M182" s="93"/>
      <c r="N182" s="93"/>
      <c r="O182" s="93"/>
      <c r="P182" s="73"/>
      <c r="Q182" s="105"/>
      <c r="R182" s="94"/>
      <c r="S182" s="101"/>
    </row>
    <row r="183">
      <c r="A183" s="66"/>
      <c r="B183" s="66"/>
      <c r="C183" s="67"/>
      <c r="D183" s="67"/>
      <c r="E183" s="67"/>
      <c r="F183" s="61"/>
      <c r="G183" s="62"/>
      <c r="H183" s="87"/>
      <c r="I183" s="66"/>
      <c r="J183" s="98"/>
      <c r="K183" s="93"/>
      <c r="L183" s="93"/>
      <c r="M183" s="93"/>
      <c r="N183" s="93"/>
      <c r="O183" s="93"/>
      <c r="P183" s="73"/>
      <c r="Q183" s="105"/>
      <c r="R183" s="94"/>
      <c r="S183" s="101"/>
    </row>
    <row r="184">
      <c r="A184" s="66"/>
      <c r="B184" s="102"/>
      <c r="C184" s="67"/>
      <c r="D184" s="67"/>
      <c r="E184" s="67"/>
      <c r="F184" s="61"/>
      <c r="G184" s="62"/>
      <c r="H184" s="87"/>
      <c r="I184" s="66"/>
      <c r="J184" s="98"/>
      <c r="K184" s="93"/>
      <c r="L184" s="93"/>
      <c r="M184" s="93"/>
      <c r="N184" s="93"/>
      <c r="O184" s="93"/>
      <c r="P184" s="73"/>
      <c r="Q184" s="105"/>
      <c r="R184" s="94"/>
      <c r="S184" s="101"/>
    </row>
    <row r="185">
      <c r="A185" s="66"/>
      <c r="B185" s="102"/>
      <c r="C185" s="67"/>
      <c r="D185" s="67"/>
      <c r="E185" s="67"/>
      <c r="F185" s="61"/>
      <c r="G185" s="62"/>
      <c r="H185" s="87"/>
      <c r="I185" s="66"/>
      <c r="J185" s="98"/>
      <c r="K185" s="93"/>
      <c r="L185" s="93"/>
      <c r="M185" s="93"/>
      <c r="N185" s="93"/>
      <c r="O185" s="93"/>
      <c r="P185" s="73"/>
      <c r="Q185" s="105"/>
      <c r="R185" s="94"/>
      <c r="S185" s="101"/>
    </row>
    <row r="186">
      <c r="A186" s="66"/>
      <c r="B186" s="102"/>
      <c r="C186" s="67"/>
      <c r="D186" s="67"/>
      <c r="E186" s="67"/>
      <c r="F186" s="61"/>
      <c r="G186" s="62"/>
      <c r="H186" s="87"/>
      <c r="I186" s="66"/>
      <c r="J186" s="98"/>
      <c r="K186" s="93"/>
      <c r="L186" s="93"/>
      <c r="M186" s="93"/>
      <c r="N186" s="93"/>
      <c r="O186" s="93"/>
      <c r="P186" s="73"/>
      <c r="Q186" s="105"/>
      <c r="R186" s="94"/>
      <c r="S186" s="101"/>
    </row>
    <row r="187">
      <c r="A187" s="66"/>
      <c r="B187" s="102"/>
      <c r="C187" s="67"/>
      <c r="D187" s="67"/>
      <c r="E187" s="67"/>
      <c r="F187" s="61"/>
      <c r="G187" s="62"/>
      <c r="H187" s="87"/>
      <c r="I187" s="66"/>
      <c r="J187" s="98"/>
      <c r="K187" s="93"/>
      <c r="L187" s="93"/>
      <c r="M187" s="93"/>
      <c r="N187" s="93"/>
      <c r="O187" s="93"/>
      <c r="P187" s="73"/>
      <c r="Q187" s="105"/>
      <c r="R187" s="94"/>
      <c r="S187" s="101"/>
    </row>
    <row r="188">
      <c r="A188" s="66"/>
      <c r="B188" s="66"/>
      <c r="C188" s="67"/>
      <c r="D188" s="67"/>
      <c r="E188" s="67"/>
      <c r="F188" s="61"/>
      <c r="G188" s="62"/>
      <c r="H188" s="87"/>
      <c r="I188" s="66"/>
      <c r="J188" s="98"/>
      <c r="K188" s="93"/>
      <c r="L188" s="93"/>
      <c r="M188" s="93"/>
      <c r="N188" s="93"/>
      <c r="O188" s="93"/>
      <c r="P188" s="73"/>
      <c r="Q188" s="105"/>
      <c r="R188" s="94"/>
      <c r="S188" s="101"/>
    </row>
    <row r="189">
      <c r="A189" s="66"/>
      <c r="B189" s="102"/>
      <c r="C189" s="67"/>
      <c r="D189" s="67"/>
      <c r="E189" s="67"/>
      <c r="F189" s="61"/>
      <c r="G189" s="62"/>
      <c r="H189" s="87"/>
      <c r="I189" s="66"/>
      <c r="J189" s="98"/>
      <c r="K189" s="93"/>
      <c r="L189" s="93"/>
      <c r="M189" s="93"/>
      <c r="N189" s="93"/>
      <c r="O189" s="93"/>
      <c r="P189" s="73"/>
      <c r="Q189" s="105"/>
      <c r="R189" s="94"/>
      <c r="S189" s="101"/>
    </row>
    <row r="190">
      <c r="A190" s="66"/>
      <c r="B190" s="102"/>
      <c r="C190" s="67"/>
      <c r="D190" s="67"/>
      <c r="E190" s="67"/>
      <c r="F190" s="61"/>
      <c r="G190" s="62"/>
      <c r="H190" s="87"/>
      <c r="I190" s="66"/>
      <c r="J190" s="98"/>
      <c r="K190" s="93"/>
      <c r="L190" s="93"/>
      <c r="M190" s="93"/>
      <c r="N190" s="93"/>
      <c r="O190" s="93"/>
      <c r="P190" s="66"/>
      <c r="Q190" s="105"/>
      <c r="R190" s="94"/>
      <c r="S190" s="101"/>
    </row>
    <row r="191">
      <c r="A191" s="66"/>
      <c r="B191" s="66"/>
      <c r="C191" s="67"/>
      <c r="D191" s="67"/>
      <c r="E191" s="67"/>
      <c r="F191" s="61"/>
      <c r="G191" s="62"/>
      <c r="H191" s="87"/>
      <c r="I191" s="66"/>
      <c r="J191" s="98"/>
      <c r="K191" s="93"/>
      <c r="L191" s="93"/>
      <c r="M191" s="93"/>
      <c r="N191" s="93"/>
      <c r="O191" s="93"/>
      <c r="P191" s="73"/>
      <c r="Q191" s="105"/>
      <c r="R191" s="94"/>
      <c r="S191" s="101"/>
    </row>
    <row r="192">
      <c r="A192" s="66"/>
      <c r="B192" s="66"/>
      <c r="C192" s="67"/>
      <c r="D192" s="67"/>
      <c r="E192" s="67"/>
      <c r="F192" s="61"/>
      <c r="G192" s="62"/>
      <c r="H192" s="87"/>
      <c r="I192" s="66"/>
      <c r="J192" s="98"/>
      <c r="K192" s="93"/>
      <c r="L192" s="93"/>
      <c r="M192" s="93"/>
      <c r="N192" s="93"/>
      <c r="O192" s="93"/>
      <c r="P192" s="73"/>
      <c r="Q192" s="105"/>
      <c r="R192" s="94"/>
      <c r="S192" s="101"/>
    </row>
    <row r="193">
      <c r="A193" s="66"/>
      <c r="B193" s="66"/>
      <c r="C193" s="67"/>
      <c r="D193" s="67"/>
      <c r="E193" s="67"/>
      <c r="F193" s="61"/>
      <c r="G193" s="62"/>
      <c r="H193" s="87"/>
      <c r="I193" s="66"/>
      <c r="J193" s="98"/>
      <c r="K193" s="93"/>
      <c r="L193" s="93"/>
      <c r="M193" s="93"/>
      <c r="N193" s="93"/>
      <c r="O193" s="93"/>
      <c r="P193" s="66"/>
      <c r="Q193" s="105"/>
      <c r="R193" s="94"/>
      <c r="S193" s="101"/>
    </row>
    <row r="194">
      <c r="A194" s="66"/>
      <c r="B194" s="102"/>
      <c r="C194" s="67"/>
      <c r="D194" s="67"/>
      <c r="E194" s="67"/>
      <c r="F194" s="61"/>
      <c r="G194" s="62"/>
      <c r="H194" s="87"/>
      <c r="I194" s="66"/>
      <c r="J194" s="98"/>
      <c r="K194" s="93"/>
      <c r="L194" s="93"/>
      <c r="M194" s="93"/>
      <c r="N194" s="93"/>
      <c r="O194" s="93"/>
      <c r="P194" s="66"/>
      <c r="Q194" s="105"/>
      <c r="R194" s="94"/>
      <c r="S194" s="101"/>
    </row>
    <row r="195">
      <c r="A195" s="66"/>
      <c r="B195" s="66"/>
      <c r="C195" s="67"/>
      <c r="D195" s="67"/>
      <c r="E195" s="67"/>
      <c r="F195" s="61"/>
      <c r="G195" s="62"/>
      <c r="H195" s="87"/>
      <c r="I195" s="66"/>
      <c r="J195" s="98"/>
      <c r="K195" s="93"/>
      <c r="L195" s="93"/>
      <c r="M195" s="93"/>
      <c r="N195" s="93"/>
      <c r="O195" s="93"/>
      <c r="P195" s="73"/>
      <c r="Q195" s="105"/>
      <c r="R195" s="94"/>
      <c r="S195" s="101"/>
    </row>
    <row r="196">
      <c r="A196" s="66"/>
      <c r="B196" s="66"/>
      <c r="C196" s="67"/>
      <c r="D196" s="67"/>
      <c r="E196" s="67"/>
      <c r="F196" s="61"/>
      <c r="G196" s="62"/>
      <c r="H196" s="87"/>
      <c r="I196" s="66"/>
      <c r="J196" s="98"/>
      <c r="K196" s="93"/>
      <c r="L196" s="93"/>
      <c r="M196" s="93"/>
      <c r="N196" s="93"/>
      <c r="O196" s="93"/>
      <c r="P196" s="66"/>
      <c r="Q196" s="105"/>
      <c r="R196" s="94"/>
      <c r="S196" s="101"/>
    </row>
    <row r="197">
      <c r="A197" s="66"/>
      <c r="B197" s="66"/>
      <c r="C197" s="67"/>
      <c r="D197" s="67"/>
      <c r="E197" s="67"/>
      <c r="F197" s="61"/>
      <c r="G197" s="62"/>
      <c r="H197" s="87"/>
      <c r="I197" s="66"/>
      <c r="J197" s="98"/>
      <c r="K197" s="93"/>
      <c r="L197" s="93"/>
      <c r="M197" s="93"/>
      <c r="N197" s="93"/>
      <c r="O197" s="93"/>
      <c r="P197" s="73"/>
      <c r="Q197" s="105"/>
      <c r="R197" s="94"/>
      <c r="S197" s="101"/>
    </row>
    <row r="198">
      <c r="A198" s="66"/>
      <c r="B198" s="66"/>
      <c r="C198" s="67"/>
      <c r="D198" s="67"/>
      <c r="E198" s="67"/>
      <c r="F198" s="61"/>
      <c r="G198" s="62"/>
      <c r="H198" s="87"/>
      <c r="I198" s="66"/>
      <c r="J198" s="98"/>
      <c r="K198" s="93"/>
      <c r="L198" s="93"/>
      <c r="M198" s="93"/>
      <c r="N198" s="93"/>
      <c r="O198" s="93"/>
      <c r="P198" s="73"/>
      <c r="Q198" s="105"/>
      <c r="R198" s="94"/>
      <c r="S198" s="101"/>
    </row>
    <row r="199">
      <c r="A199" s="66"/>
      <c r="B199" s="66"/>
      <c r="C199" s="67"/>
      <c r="D199" s="67"/>
      <c r="E199" s="67"/>
      <c r="F199" s="61"/>
      <c r="G199" s="62"/>
      <c r="H199" s="87"/>
      <c r="I199" s="66"/>
      <c r="J199" s="98"/>
      <c r="K199" s="93"/>
      <c r="L199" s="93"/>
      <c r="M199" s="93"/>
      <c r="N199" s="93"/>
      <c r="O199" s="93"/>
      <c r="P199" s="73"/>
      <c r="Q199" s="105"/>
      <c r="R199" s="94"/>
      <c r="S199" s="101"/>
    </row>
    <row r="200">
      <c r="A200" s="66"/>
      <c r="B200" s="102"/>
      <c r="C200" s="67"/>
      <c r="D200" s="67"/>
      <c r="E200" s="67"/>
      <c r="F200" s="61"/>
      <c r="G200" s="62"/>
      <c r="H200" s="87"/>
      <c r="I200" s="66"/>
      <c r="J200" s="98"/>
      <c r="K200" s="93"/>
      <c r="L200" s="93"/>
      <c r="M200" s="93"/>
      <c r="N200" s="93"/>
      <c r="O200" s="93"/>
      <c r="P200" s="73"/>
      <c r="Q200" s="105"/>
      <c r="R200" s="94"/>
      <c r="S200" s="101"/>
    </row>
    <row r="201">
      <c r="A201" s="66"/>
      <c r="B201" s="102"/>
      <c r="C201" s="67"/>
      <c r="D201" s="67"/>
      <c r="E201" s="67"/>
      <c r="F201" s="61"/>
      <c r="G201" s="62"/>
      <c r="H201" s="87"/>
      <c r="I201" s="66"/>
      <c r="J201" s="98"/>
      <c r="K201" s="93"/>
      <c r="L201" s="93"/>
      <c r="M201" s="93"/>
      <c r="N201" s="93"/>
      <c r="O201" s="93"/>
      <c r="P201" s="73"/>
      <c r="Q201" s="105"/>
      <c r="R201" s="94"/>
      <c r="S201" s="101"/>
    </row>
    <row r="202">
      <c r="A202" s="66"/>
      <c r="B202" s="66"/>
      <c r="C202" s="67"/>
      <c r="D202" s="67"/>
      <c r="E202" s="67"/>
      <c r="F202" s="61"/>
      <c r="G202" s="62"/>
      <c r="H202" s="87"/>
      <c r="I202" s="66"/>
      <c r="J202" s="98"/>
      <c r="K202" s="93"/>
      <c r="L202" s="93"/>
      <c r="M202" s="93"/>
      <c r="N202" s="93"/>
      <c r="O202" s="93"/>
      <c r="P202" s="73"/>
      <c r="Q202" s="105"/>
      <c r="R202" s="94"/>
      <c r="S202" s="101"/>
    </row>
    <row r="203">
      <c r="A203" s="66"/>
      <c r="B203" s="66"/>
      <c r="C203" s="67"/>
      <c r="D203" s="67"/>
      <c r="E203" s="67"/>
      <c r="F203" s="61"/>
      <c r="G203" s="62"/>
      <c r="H203" s="87"/>
      <c r="I203" s="66"/>
      <c r="J203" s="98"/>
      <c r="K203" s="93"/>
      <c r="L203" s="93"/>
      <c r="M203" s="93"/>
      <c r="N203" s="93"/>
      <c r="O203" s="93"/>
      <c r="P203" s="66"/>
      <c r="Q203" s="105"/>
      <c r="R203" s="94"/>
      <c r="S203" s="101"/>
    </row>
    <row r="204">
      <c r="A204" s="66"/>
      <c r="B204" s="66"/>
      <c r="C204" s="67"/>
      <c r="D204" s="67"/>
      <c r="E204" s="67"/>
      <c r="F204" s="61"/>
      <c r="G204" s="62"/>
      <c r="H204" s="87"/>
      <c r="I204" s="66"/>
      <c r="J204" s="98"/>
      <c r="K204" s="93"/>
      <c r="L204" s="93"/>
      <c r="M204" s="93"/>
      <c r="N204" s="93"/>
      <c r="O204" s="93"/>
      <c r="P204" s="73"/>
      <c r="Q204" s="105"/>
      <c r="R204" s="94"/>
      <c r="S204" s="101"/>
    </row>
    <row r="205">
      <c r="A205" s="66"/>
      <c r="B205" s="66"/>
      <c r="C205" s="67"/>
      <c r="D205" s="67"/>
      <c r="E205" s="67"/>
      <c r="F205" s="61"/>
      <c r="G205" s="62"/>
      <c r="H205" s="87"/>
      <c r="I205" s="66"/>
      <c r="J205" s="98"/>
      <c r="K205" s="93"/>
      <c r="L205" s="93"/>
      <c r="M205" s="93"/>
      <c r="N205" s="93"/>
      <c r="O205" s="93"/>
      <c r="P205" s="73"/>
      <c r="Q205" s="105"/>
      <c r="R205" s="94"/>
      <c r="S205" s="101"/>
    </row>
    <row r="206">
      <c r="A206" s="66"/>
      <c r="B206" s="66"/>
      <c r="C206" s="67"/>
      <c r="D206" s="67"/>
      <c r="E206" s="67"/>
      <c r="F206" s="61"/>
      <c r="G206" s="62"/>
      <c r="H206" s="87"/>
      <c r="I206" s="66"/>
      <c r="J206" s="98"/>
      <c r="K206" s="93"/>
      <c r="L206" s="93"/>
      <c r="M206" s="93"/>
      <c r="N206" s="93"/>
      <c r="O206" s="93"/>
      <c r="P206" s="73"/>
      <c r="Q206" s="105"/>
      <c r="R206" s="94"/>
      <c r="S206" s="101"/>
    </row>
    <row r="207">
      <c r="A207" s="66"/>
      <c r="B207" s="66"/>
      <c r="C207" s="67"/>
      <c r="D207" s="67"/>
      <c r="E207" s="67"/>
      <c r="F207" s="61"/>
      <c r="G207" s="62"/>
      <c r="H207" s="87"/>
      <c r="I207" s="66"/>
      <c r="J207" s="98"/>
      <c r="K207" s="93"/>
      <c r="L207" s="93"/>
      <c r="M207" s="93"/>
      <c r="N207" s="93"/>
      <c r="O207" s="93"/>
      <c r="P207" s="73"/>
      <c r="Q207" s="105"/>
      <c r="R207" s="94"/>
      <c r="S207" s="101"/>
    </row>
    <row r="208">
      <c r="A208" s="66"/>
      <c r="B208" s="102"/>
      <c r="C208" s="67"/>
      <c r="D208" s="67"/>
      <c r="E208" s="67"/>
      <c r="F208" s="61"/>
      <c r="G208" s="62"/>
      <c r="H208" s="87"/>
      <c r="I208" s="66"/>
      <c r="J208" s="98"/>
      <c r="K208" s="93"/>
      <c r="L208" s="93"/>
      <c r="M208" s="93"/>
      <c r="N208" s="93"/>
      <c r="O208" s="93"/>
      <c r="P208" s="66"/>
      <c r="Q208" s="105"/>
      <c r="R208" s="94"/>
      <c r="S208" s="101"/>
    </row>
    <row r="209">
      <c r="A209" s="66"/>
      <c r="B209" s="66"/>
      <c r="C209" s="67"/>
      <c r="D209" s="67"/>
      <c r="E209" s="67"/>
      <c r="F209" s="61"/>
      <c r="G209" s="62"/>
      <c r="H209" s="87"/>
      <c r="I209" s="66"/>
      <c r="J209" s="98"/>
      <c r="K209" s="93"/>
      <c r="L209" s="93"/>
      <c r="M209" s="93"/>
      <c r="N209" s="93"/>
      <c r="O209" s="93"/>
      <c r="P209" s="66"/>
      <c r="Q209" s="105"/>
      <c r="R209" s="94"/>
      <c r="S209" s="101"/>
    </row>
    <row r="210">
      <c r="A210" s="66"/>
      <c r="B210" s="66"/>
      <c r="C210" s="67"/>
      <c r="D210" s="67"/>
      <c r="E210" s="67"/>
      <c r="F210" s="61"/>
      <c r="G210" s="62"/>
      <c r="H210" s="87"/>
      <c r="I210" s="66"/>
      <c r="J210" s="98"/>
      <c r="K210" s="93"/>
      <c r="L210" s="93"/>
      <c r="M210" s="93"/>
      <c r="N210" s="93"/>
      <c r="O210" s="93"/>
      <c r="P210" s="73"/>
      <c r="Q210" s="105"/>
      <c r="R210" s="94"/>
      <c r="S210" s="101"/>
    </row>
    <row r="211">
      <c r="A211" s="66"/>
      <c r="B211" s="66"/>
      <c r="C211" s="67"/>
      <c r="D211" s="67"/>
      <c r="E211" s="67"/>
      <c r="F211" s="61"/>
      <c r="G211" s="62"/>
      <c r="H211" s="87"/>
      <c r="I211" s="66"/>
      <c r="J211" s="98"/>
      <c r="K211" s="93"/>
      <c r="L211" s="93"/>
      <c r="M211" s="93"/>
      <c r="N211" s="93"/>
      <c r="O211" s="93"/>
      <c r="P211" s="73"/>
      <c r="Q211" s="105"/>
      <c r="R211" s="94"/>
      <c r="S211" s="101"/>
    </row>
    <row r="212">
      <c r="A212" s="66"/>
      <c r="B212" s="66"/>
      <c r="C212" s="67"/>
      <c r="D212" s="67"/>
      <c r="E212" s="67"/>
      <c r="F212" s="61"/>
      <c r="G212" s="62"/>
      <c r="H212" s="87"/>
      <c r="I212" s="66"/>
      <c r="J212" s="98"/>
      <c r="K212" s="93"/>
      <c r="L212" s="93"/>
      <c r="M212" s="93"/>
      <c r="N212" s="93"/>
      <c r="O212" s="93"/>
      <c r="P212" s="73"/>
      <c r="Q212" s="105"/>
      <c r="R212" s="94"/>
      <c r="S212" s="101"/>
    </row>
    <row r="213">
      <c r="A213" s="66"/>
      <c r="B213" s="66"/>
      <c r="C213" s="67"/>
      <c r="D213" s="67"/>
      <c r="E213" s="67"/>
      <c r="F213" s="61"/>
      <c r="G213" s="62"/>
      <c r="H213" s="87"/>
      <c r="I213" s="66"/>
      <c r="J213" s="98"/>
      <c r="K213" s="93"/>
      <c r="L213" s="93"/>
      <c r="M213" s="93"/>
      <c r="N213" s="93"/>
      <c r="O213" s="93"/>
      <c r="P213" s="73"/>
      <c r="Q213" s="105"/>
      <c r="R213" s="94"/>
      <c r="S213" s="101"/>
    </row>
    <row r="214">
      <c r="A214" s="66"/>
      <c r="B214" s="102"/>
      <c r="C214" s="67"/>
      <c r="D214" s="67"/>
      <c r="E214" s="67"/>
      <c r="F214" s="61"/>
      <c r="G214" s="62"/>
      <c r="H214" s="87"/>
      <c r="I214" s="66"/>
      <c r="J214" s="98"/>
      <c r="K214" s="93"/>
      <c r="L214" s="93"/>
      <c r="M214" s="93"/>
      <c r="N214" s="93"/>
      <c r="O214" s="93"/>
      <c r="P214" s="73"/>
      <c r="Q214" s="105"/>
      <c r="R214" s="94"/>
      <c r="S214" s="101"/>
    </row>
    <row r="215">
      <c r="A215" s="66"/>
      <c r="B215" s="102"/>
      <c r="C215" s="67"/>
      <c r="D215" s="67"/>
      <c r="E215" s="67"/>
      <c r="F215" s="61"/>
      <c r="G215" s="62"/>
      <c r="H215" s="87"/>
      <c r="I215" s="66"/>
      <c r="J215" s="98"/>
      <c r="K215" s="93"/>
      <c r="L215" s="93"/>
      <c r="M215" s="93"/>
      <c r="N215" s="93"/>
      <c r="O215" s="93"/>
      <c r="P215" s="66"/>
      <c r="Q215" s="105"/>
      <c r="R215" s="94"/>
      <c r="S215" s="101"/>
    </row>
    <row r="216">
      <c r="A216" s="66"/>
      <c r="B216" s="66"/>
      <c r="C216" s="67"/>
      <c r="D216" s="67"/>
      <c r="E216" s="67"/>
      <c r="F216" s="61"/>
      <c r="G216" s="62"/>
      <c r="H216" s="87"/>
      <c r="I216" s="66"/>
      <c r="J216" s="98"/>
      <c r="K216" s="93"/>
      <c r="L216" s="93"/>
      <c r="M216" s="93"/>
      <c r="N216" s="93"/>
      <c r="O216" s="93"/>
      <c r="P216" s="73"/>
      <c r="Q216" s="105"/>
      <c r="R216" s="94"/>
      <c r="S216" s="101"/>
    </row>
    <row r="217">
      <c r="A217" s="66"/>
      <c r="B217" s="66"/>
      <c r="C217" s="67"/>
      <c r="D217" s="67"/>
      <c r="E217" s="67"/>
      <c r="F217" s="61"/>
      <c r="G217" s="62"/>
      <c r="H217" s="87"/>
      <c r="I217" s="66"/>
      <c r="J217" s="98"/>
      <c r="K217" s="93"/>
      <c r="L217" s="93"/>
      <c r="M217" s="93"/>
      <c r="N217" s="93"/>
      <c r="O217" s="93"/>
      <c r="P217" s="73"/>
      <c r="Q217" s="105"/>
      <c r="R217" s="94"/>
      <c r="S217" s="101"/>
    </row>
    <row r="218">
      <c r="C218" s="67"/>
      <c r="D218" s="67"/>
      <c r="E218" s="67"/>
      <c r="F218" s="90"/>
      <c r="G218" s="107"/>
      <c r="H218" s="108"/>
      <c r="J218" s="109"/>
      <c r="K218" s="110"/>
      <c r="L218" s="110"/>
      <c r="M218" s="110"/>
      <c r="N218" s="110"/>
      <c r="O218" s="110"/>
      <c r="R218" s="101"/>
      <c r="S218" s="101"/>
    </row>
    <row r="219">
      <c r="C219" s="67"/>
      <c r="D219" s="67"/>
      <c r="E219" s="67"/>
      <c r="F219" s="90"/>
      <c r="G219" s="107"/>
      <c r="H219" s="108"/>
      <c r="J219" s="109"/>
      <c r="K219" s="110"/>
      <c r="L219" s="110"/>
      <c r="M219" s="110"/>
      <c r="N219" s="110"/>
      <c r="O219" s="110"/>
      <c r="R219" s="101"/>
      <c r="S219" s="101"/>
    </row>
    <row r="220">
      <c r="C220" s="67"/>
      <c r="D220" s="67"/>
      <c r="E220" s="67"/>
      <c r="F220" s="90"/>
      <c r="G220" s="107"/>
      <c r="H220" s="108"/>
      <c r="J220" s="109"/>
      <c r="K220" s="110"/>
      <c r="L220" s="110"/>
      <c r="M220" s="110"/>
      <c r="N220" s="110"/>
      <c r="O220" s="110"/>
      <c r="R220" s="101"/>
      <c r="S220" s="101"/>
    </row>
    <row r="221">
      <c r="C221" s="67"/>
      <c r="D221" s="67"/>
      <c r="E221" s="67"/>
      <c r="F221" s="90"/>
      <c r="G221" s="107"/>
      <c r="H221" s="108"/>
      <c r="J221" s="109"/>
      <c r="K221" s="110"/>
      <c r="L221" s="110"/>
      <c r="M221" s="110"/>
      <c r="N221" s="110"/>
      <c r="O221" s="110"/>
      <c r="R221" s="101"/>
      <c r="S221" s="101"/>
    </row>
    <row r="222">
      <c r="C222" s="67"/>
      <c r="D222" s="67"/>
      <c r="E222" s="67"/>
      <c r="F222" s="90"/>
      <c r="G222" s="107"/>
      <c r="H222" s="108"/>
      <c r="J222" s="109"/>
      <c r="K222" s="110"/>
      <c r="L222" s="110"/>
      <c r="M222" s="110"/>
      <c r="N222" s="110"/>
      <c r="O222" s="110"/>
      <c r="R222" s="101"/>
      <c r="S222" s="101"/>
    </row>
    <row r="223">
      <c r="C223" s="67"/>
      <c r="D223" s="67"/>
      <c r="E223" s="67"/>
      <c r="F223" s="90"/>
      <c r="G223" s="107"/>
      <c r="H223" s="108"/>
      <c r="J223" s="109"/>
      <c r="K223" s="110"/>
      <c r="L223" s="110"/>
      <c r="M223" s="110"/>
      <c r="N223" s="110"/>
      <c r="O223" s="110"/>
      <c r="R223" s="101"/>
      <c r="S223" s="101"/>
    </row>
    <row r="224">
      <c r="C224" s="67"/>
      <c r="D224" s="67"/>
      <c r="E224" s="67"/>
      <c r="F224" s="90"/>
      <c r="G224" s="107"/>
      <c r="H224" s="108"/>
      <c r="J224" s="109"/>
      <c r="K224" s="110"/>
      <c r="L224" s="110"/>
      <c r="M224" s="110"/>
      <c r="N224" s="110"/>
      <c r="O224" s="110"/>
      <c r="R224" s="101"/>
      <c r="S224" s="101"/>
    </row>
    <row r="225">
      <c r="C225" s="67"/>
      <c r="D225" s="67"/>
      <c r="E225" s="67"/>
      <c r="F225" s="90"/>
      <c r="G225" s="107"/>
      <c r="H225" s="108"/>
      <c r="J225" s="109"/>
      <c r="K225" s="110"/>
      <c r="L225" s="110"/>
      <c r="M225" s="110"/>
      <c r="N225" s="110"/>
      <c r="O225" s="110"/>
      <c r="R225" s="101"/>
      <c r="S225" s="101"/>
    </row>
    <row r="226">
      <c r="C226" s="67"/>
      <c r="D226" s="67"/>
      <c r="E226" s="67"/>
      <c r="F226" s="90"/>
      <c r="G226" s="107"/>
      <c r="H226" s="108"/>
      <c r="J226" s="109"/>
      <c r="K226" s="110"/>
      <c r="L226" s="110"/>
      <c r="M226" s="110"/>
      <c r="N226" s="110"/>
      <c r="O226" s="110"/>
      <c r="R226" s="101"/>
      <c r="S226" s="101"/>
    </row>
    <row r="227">
      <c r="C227" s="67"/>
      <c r="D227" s="67"/>
      <c r="E227" s="67"/>
      <c r="F227" s="90"/>
      <c r="G227" s="107"/>
      <c r="H227" s="108"/>
      <c r="J227" s="109"/>
      <c r="K227" s="110"/>
      <c r="L227" s="110"/>
      <c r="M227" s="110"/>
      <c r="N227" s="110"/>
      <c r="O227" s="110"/>
      <c r="R227" s="101"/>
      <c r="S227" s="101"/>
    </row>
    <row r="228">
      <c r="C228" s="67"/>
      <c r="D228" s="67"/>
      <c r="E228" s="67"/>
      <c r="F228" s="90"/>
      <c r="G228" s="107"/>
      <c r="H228" s="108"/>
      <c r="J228" s="109"/>
      <c r="K228" s="110"/>
      <c r="L228" s="110"/>
      <c r="M228" s="110"/>
      <c r="N228" s="110"/>
      <c r="O228" s="110"/>
      <c r="R228" s="101"/>
      <c r="S228" s="101"/>
    </row>
    <row r="229">
      <c r="C229" s="67"/>
      <c r="D229" s="67"/>
      <c r="E229" s="67"/>
      <c r="F229" s="90"/>
      <c r="G229" s="107"/>
      <c r="H229" s="108"/>
      <c r="J229" s="109"/>
      <c r="K229" s="110"/>
      <c r="L229" s="110"/>
      <c r="M229" s="110"/>
      <c r="N229" s="110"/>
      <c r="O229" s="110"/>
      <c r="R229" s="101"/>
      <c r="S229" s="101"/>
    </row>
    <row r="230">
      <c r="C230" s="67"/>
      <c r="D230" s="67"/>
      <c r="E230" s="67"/>
      <c r="F230" s="90"/>
      <c r="G230" s="107"/>
      <c r="H230" s="108"/>
      <c r="J230" s="109"/>
      <c r="K230" s="110"/>
      <c r="L230" s="110"/>
      <c r="M230" s="110"/>
      <c r="N230" s="110"/>
      <c r="O230" s="110"/>
      <c r="R230" s="101"/>
      <c r="S230" s="101"/>
    </row>
    <row r="231">
      <c r="C231" s="67"/>
      <c r="D231" s="67"/>
      <c r="E231" s="67"/>
      <c r="F231" s="90"/>
      <c r="G231" s="107"/>
      <c r="H231" s="108"/>
      <c r="J231" s="109"/>
      <c r="K231" s="110"/>
      <c r="L231" s="110"/>
      <c r="M231" s="110"/>
      <c r="N231" s="110"/>
      <c r="O231" s="110"/>
      <c r="R231" s="101"/>
      <c r="S231" s="101"/>
    </row>
    <row r="232">
      <c r="C232" s="67"/>
      <c r="D232" s="67"/>
      <c r="E232" s="67"/>
      <c r="F232" s="90"/>
      <c r="G232" s="107"/>
      <c r="H232" s="108"/>
      <c r="J232" s="109"/>
      <c r="K232" s="110"/>
      <c r="L232" s="110"/>
      <c r="M232" s="110"/>
      <c r="N232" s="110"/>
      <c r="O232" s="110"/>
      <c r="R232" s="101"/>
      <c r="S232" s="101"/>
    </row>
    <row r="233">
      <c r="C233" s="67"/>
      <c r="D233" s="67"/>
      <c r="E233" s="67"/>
      <c r="F233" s="90"/>
      <c r="G233" s="107"/>
      <c r="H233" s="108"/>
      <c r="J233" s="109"/>
      <c r="K233" s="110"/>
      <c r="L233" s="110"/>
      <c r="M233" s="110"/>
      <c r="N233" s="110"/>
      <c r="O233" s="110"/>
      <c r="R233" s="101"/>
      <c r="S233" s="101"/>
    </row>
    <row r="234">
      <c r="C234" s="67"/>
      <c r="D234" s="67"/>
      <c r="E234" s="67"/>
      <c r="F234" s="90"/>
      <c r="G234" s="107"/>
      <c r="H234" s="108"/>
      <c r="J234" s="109"/>
      <c r="K234" s="110"/>
      <c r="L234" s="110"/>
      <c r="M234" s="110"/>
      <c r="N234" s="110"/>
      <c r="O234" s="110"/>
      <c r="R234" s="101"/>
      <c r="S234" s="101"/>
    </row>
    <row r="235">
      <c r="C235" s="90"/>
      <c r="D235" s="90"/>
      <c r="E235" s="67"/>
      <c r="F235" s="90"/>
      <c r="G235" s="107"/>
      <c r="H235" s="108"/>
      <c r="J235" s="109"/>
      <c r="K235" s="110"/>
      <c r="L235" s="110"/>
      <c r="M235" s="110"/>
      <c r="N235" s="110"/>
      <c r="O235" s="110"/>
      <c r="R235" s="101"/>
      <c r="S235" s="101"/>
    </row>
    <row r="236">
      <c r="C236" s="90"/>
      <c r="D236" s="90"/>
      <c r="E236" s="67"/>
      <c r="F236" s="90"/>
      <c r="G236" s="107"/>
      <c r="H236" s="108"/>
      <c r="J236" s="109"/>
      <c r="K236" s="110"/>
      <c r="L236" s="110"/>
      <c r="M236" s="110"/>
      <c r="N236" s="110"/>
      <c r="O236" s="110"/>
      <c r="R236" s="101"/>
      <c r="S236" s="101"/>
    </row>
    <row r="237">
      <c r="C237" s="90"/>
      <c r="D237" s="90"/>
      <c r="E237" s="67"/>
      <c r="F237" s="90"/>
      <c r="G237" s="107"/>
      <c r="H237" s="108"/>
      <c r="J237" s="109"/>
      <c r="K237" s="110"/>
      <c r="L237" s="110"/>
      <c r="M237" s="110"/>
      <c r="N237" s="110"/>
      <c r="O237" s="110"/>
      <c r="R237" s="101"/>
      <c r="S237" s="101"/>
    </row>
    <row r="238">
      <c r="C238" s="90"/>
      <c r="D238" s="90"/>
      <c r="E238" s="67"/>
      <c r="F238" s="90"/>
      <c r="G238" s="107"/>
      <c r="H238" s="108"/>
      <c r="J238" s="109"/>
      <c r="K238" s="110"/>
      <c r="L238" s="110"/>
      <c r="M238" s="110"/>
      <c r="N238" s="110"/>
      <c r="O238" s="110"/>
      <c r="R238" s="101"/>
      <c r="S238" s="101"/>
    </row>
    <row r="239">
      <c r="C239" s="90"/>
      <c r="D239" s="90"/>
      <c r="E239" s="67"/>
      <c r="F239" s="90"/>
      <c r="G239" s="107"/>
      <c r="H239" s="108"/>
      <c r="J239" s="109"/>
      <c r="K239" s="110"/>
      <c r="L239" s="110"/>
      <c r="M239" s="110"/>
      <c r="N239" s="110"/>
      <c r="O239" s="110"/>
      <c r="R239" s="101"/>
      <c r="S239" s="101"/>
    </row>
    <row r="240">
      <c r="C240" s="90"/>
      <c r="D240" s="90"/>
      <c r="E240" s="67"/>
      <c r="F240" s="90"/>
      <c r="G240" s="107"/>
      <c r="H240" s="108"/>
      <c r="J240" s="109"/>
      <c r="K240" s="110"/>
      <c r="L240" s="110"/>
      <c r="M240" s="110"/>
      <c r="N240" s="110"/>
      <c r="O240" s="110"/>
      <c r="R240" s="101"/>
      <c r="S240" s="101"/>
    </row>
    <row r="241">
      <c r="C241" s="90"/>
      <c r="D241" s="90"/>
      <c r="E241" s="67"/>
      <c r="F241" s="90"/>
      <c r="G241" s="107"/>
      <c r="H241" s="108"/>
      <c r="J241" s="109"/>
      <c r="K241" s="110"/>
      <c r="L241" s="110"/>
      <c r="M241" s="110"/>
      <c r="N241" s="110"/>
      <c r="O241" s="110"/>
      <c r="R241" s="101"/>
      <c r="S241" s="101"/>
    </row>
    <row r="242">
      <c r="C242" s="90"/>
      <c r="D242" s="90"/>
      <c r="E242" s="67"/>
      <c r="F242" s="90"/>
      <c r="G242" s="107"/>
      <c r="H242" s="108"/>
      <c r="J242" s="109"/>
      <c r="K242" s="110"/>
      <c r="L242" s="110"/>
      <c r="M242" s="110"/>
      <c r="N242" s="110"/>
      <c r="O242" s="110"/>
      <c r="R242" s="101"/>
      <c r="S242" s="101"/>
    </row>
    <row r="243">
      <c r="C243" s="90"/>
      <c r="D243" s="90"/>
      <c r="E243" s="67"/>
      <c r="F243" s="90"/>
      <c r="G243" s="107"/>
      <c r="H243" s="108"/>
      <c r="J243" s="109"/>
      <c r="K243" s="110"/>
      <c r="L243" s="110"/>
      <c r="M243" s="110"/>
      <c r="N243" s="110"/>
      <c r="O243" s="110"/>
      <c r="R243" s="101"/>
      <c r="S243" s="101"/>
    </row>
    <row r="244">
      <c r="C244" s="90"/>
      <c r="D244" s="90"/>
      <c r="E244" s="67"/>
      <c r="F244" s="90"/>
      <c r="G244" s="107"/>
      <c r="H244" s="108"/>
      <c r="J244" s="109"/>
      <c r="K244" s="110"/>
      <c r="L244" s="110"/>
      <c r="M244" s="110"/>
      <c r="N244" s="110"/>
      <c r="O244" s="110"/>
      <c r="R244" s="101"/>
      <c r="S244" s="101"/>
    </row>
    <row r="245">
      <c r="C245" s="90"/>
      <c r="D245" s="90"/>
      <c r="E245" s="67"/>
      <c r="F245" s="90"/>
      <c r="G245" s="107"/>
      <c r="H245" s="108"/>
      <c r="J245" s="109"/>
      <c r="K245" s="110"/>
      <c r="L245" s="110"/>
      <c r="M245" s="110"/>
      <c r="N245" s="110"/>
      <c r="O245" s="110"/>
      <c r="R245" s="101"/>
      <c r="S245" s="101"/>
    </row>
    <row r="246">
      <c r="C246" s="90"/>
      <c r="D246" s="90"/>
      <c r="E246" s="67"/>
      <c r="F246" s="90"/>
      <c r="G246" s="107"/>
      <c r="H246" s="108"/>
      <c r="J246" s="109"/>
      <c r="K246" s="110"/>
      <c r="L246" s="110"/>
      <c r="M246" s="110"/>
      <c r="N246" s="110"/>
      <c r="O246" s="110"/>
      <c r="R246" s="101"/>
      <c r="S246" s="101"/>
    </row>
    <row r="247">
      <c r="C247" s="90"/>
      <c r="D247" s="90"/>
      <c r="E247" s="67"/>
      <c r="F247" s="90"/>
      <c r="G247" s="107"/>
      <c r="H247" s="108"/>
      <c r="J247" s="109"/>
      <c r="K247" s="110"/>
      <c r="L247" s="110"/>
      <c r="M247" s="110"/>
      <c r="N247" s="110"/>
      <c r="O247" s="110"/>
      <c r="R247" s="101"/>
      <c r="S247" s="101"/>
    </row>
    <row r="248">
      <c r="C248" s="90"/>
      <c r="D248" s="90"/>
      <c r="E248" s="67"/>
      <c r="F248" s="90"/>
      <c r="G248" s="107"/>
      <c r="H248" s="108"/>
      <c r="J248" s="109"/>
      <c r="K248" s="110"/>
      <c r="L248" s="110"/>
      <c r="M248" s="110"/>
      <c r="N248" s="110"/>
      <c r="O248" s="110"/>
      <c r="R248" s="101"/>
      <c r="S248" s="101"/>
    </row>
    <row r="249">
      <c r="C249" s="90"/>
      <c r="D249" s="90"/>
      <c r="E249" s="67"/>
      <c r="F249" s="90"/>
      <c r="G249" s="107"/>
      <c r="H249" s="108"/>
      <c r="J249" s="109"/>
      <c r="K249" s="110"/>
      <c r="L249" s="110"/>
      <c r="M249" s="110"/>
      <c r="N249" s="110"/>
      <c r="O249" s="110"/>
      <c r="R249" s="101"/>
      <c r="S249" s="101"/>
    </row>
    <row r="250">
      <c r="C250" s="90"/>
      <c r="D250" s="90"/>
      <c r="E250" s="67"/>
      <c r="F250" s="90"/>
      <c r="G250" s="107"/>
      <c r="H250" s="108"/>
      <c r="J250" s="109"/>
      <c r="K250" s="110"/>
      <c r="L250" s="110"/>
      <c r="M250" s="110"/>
      <c r="N250" s="110"/>
      <c r="O250" s="110"/>
      <c r="R250" s="101"/>
      <c r="S250" s="101"/>
    </row>
    <row r="251">
      <c r="C251" s="90"/>
      <c r="D251" s="90"/>
      <c r="E251" s="67"/>
      <c r="F251" s="90"/>
      <c r="G251" s="107"/>
      <c r="H251" s="108"/>
      <c r="J251" s="109"/>
      <c r="K251" s="110"/>
      <c r="L251" s="110"/>
      <c r="M251" s="110"/>
      <c r="N251" s="110"/>
      <c r="O251" s="110"/>
      <c r="R251" s="101"/>
      <c r="S251" s="101"/>
    </row>
    <row r="252">
      <c r="C252" s="90"/>
      <c r="D252" s="90"/>
      <c r="E252" s="67"/>
      <c r="F252" s="90"/>
      <c r="G252" s="107"/>
      <c r="H252" s="108"/>
      <c r="J252" s="109"/>
      <c r="K252" s="110"/>
      <c r="L252" s="110"/>
      <c r="M252" s="110"/>
      <c r="N252" s="110"/>
      <c r="O252" s="110"/>
      <c r="R252" s="101"/>
      <c r="S252" s="101"/>
    </row>
    <row r="253">
      <c r="C253" s="90"/>
      <c r="D253" s="90"/>
      <c r="E253" s="67"/>
      <c r="F253" s="90"/>
      <c r="G253" s="107"/>
      <c r="H253" s="108"/>
      <c r="J253" s="109"/>
      <c r="K253" s="110"/>
      <c r="L253" s="110"/>
      <c r="M253" s="110"/>
      <c r="N253" s="110"/>
      <c r="O253" s="110"/>
      <c r="R253" s="101"/>
      <c r="S253" s="101"/>
    </row>
    <row r="254">
      <c r="C254" s="90"/>
      <c r="D254" s="90"/>
      <c r="E254" s="67"/>
      <c r="F254" s="90"/>
      <c r="G254" s="107"/>
      <c r="H254" s="108"/>
      <c r="J254" s="109"/>
      <c r="K254" s="110"/>
      <c r="L254" s="110"/>
      <c r="M254" s="110"/>
      <c r="N254" s="110"/>
      <c r="O254" s="110"/>
      <c r="R254" s="101"/>
      <c r="S254" s="101"/>
    </row>
    <row r="255">
      <c r="C255" s="90"/>
      <c r="D255" s="90"/>
      <c r="E255" s="67"/>
      <c r="F255" s="90"/>
      <c r="G255" s="107"/>
      <c r="H255" s="108"/>
      <c r="J255" s="109"/>
      <c r="K255" s="110"/>
      <c r="L255" s="110"/>
      <c r="M255" s="110"/>
      <c r="N255" s="110"/>
      <c r="O255" s="110"/>
      <c r="R255" s="101"/>
      <c r="S255" s="101"/>
    </row>
    <row r="256">
      <c r="C256" s="90"/>
      <c r="D256" s="90"/>
      <c r="E256" s="67"/>
      <c r="F256" s="90"/>
      <c r="G256" s="107"/>
      <c r="H256" s="108"/>
      <c r="J256" s="109"/>
      <c r="K256" s="110"/>
      <c r="L256" s="110"/>
      <c r="M256" s="110"/>
      <c r="N256" s="110"/>
      <c r="O256" s="110"/>
      <c r="R256" s="101"/>
      <c r="S256" s="101"/>
    </row>
    <row r="257">
      <c r="C257" s="90"/>
      <c r="D257" s="90"/>
      <c r="E257" s="67"/>
      <c r="F257" s="90"/>
      <c r="G257" s="107"/>
      <c r="H257" s="108"/>
      <c r="J257" s="109"/>
      <c r="K257" s="110"/>
      <c r="L257" s="110"/>
      <c r="M257" s="110"/>
      <c r="N257" s="110"/>
      <c r="O257" s="110"/>
      <c r="R257" s="101"/>
      <c r="S257" s="101"/>
    </row>
    <row r="258">
      <c r="C258" s="90"/>
      <c r="D258" s="90"/>
      <c r="E258" s="67"/>
      <c r="F258" s="90"/>
      <c r="G258" s="107"/>
      <c r="H258" s="108"/>
      <c r="J258" s="109"/>
      <c r="K258" s="110"/>
      <c r="L258" s="110"/>
      <c r="M258" s="110"/>
      <c r="N258" s="110"/>
      <c r="O258" s="110"/>
      <c r="R258" s="101"/>
      <c r="S258" s="101"/>
    </row>
    <row r="259">
      <c r="C259" s="90"/>
      <c r="D259" s="90"/>
      <c r="E259" s="67"/>
      <c r="F259" s="90"/>
      <c r="G259" s="107"/>
      <c r="H259" s="108"/>
      <c r="J259" s="109"/>
      <c r="K259" s="110"/>
      <c r="L259" s="110"/>
      <c r="M259" s="110"/>
      <c r="N259" s="110"/>
      <c r="O259" s="110"/>
      <c r="R259" s="101"/>
      <c r="S259" s="101"/>
    </row>
    <row r="260">
      <c r="C260" s="90"/>
      <c r="D260" s="90"/>
      <c r="E260" s="67"/>
      <c r="F260" s="90"/>
      <c r="G260" s="107"/>
      <c r="H260" s="108"/>
      <c r="J260" s="109"/>
      <c r="K260" s="110"/>
      <c r="L260" s="110"/>
      <c r="M260" s="110"/>
      <c r="N260" s="110"/>
      <c r="O260" s="110"/>
      <c r="R260" s="101"/>
      <c r="S260" s="101"/>
    </row>
    <row r="261">
      <c r="C261" s="90"/>
      <c r="D261" s="90"/>
      <c r="E261" s="67"/>
      <c r="F261" s="90"/>
      <c r="G261" s="107"/>
      <c r="H261" s="108"/>
      <c r="J261" s="109"/>
      <c r="K261" s="110"/>
      <c r="L261" s="110"/>
      <c r="M261" s="110"/>
      <c r="N261" s="110"/>
      <c r="O261" s="110"/>
      <c r="R261" s="101"/>
      <c r="S261" s="101"/>
    </row>
    <row r="262">
      <c r="C262" s="90"/>
      <c r="D262" s="90"/>
      <c r="E262" s="67"/>
      <c r="F262" s="90"/>
      <c r="G262" s="107"/>
      <c r="H262" s="108"/>
      <c r="J262" s="109"/>
      <c r="K262" s="110"/>
      <c r="L262" s="110"/>
      <c r="M262" s="110"/>
      <c r="N262" s="110"/>
      <c r="O262" s="110"/>
      <c r="R262" s="101"/>
      <c r="S262" s="101"/>
    </row>
    <row r="263">
      <c r="C263" s="90"/>
      <c r="D263" s="90"/>
      <c r="E263" s="67"/>
      <c r="F263" s="90"/>
      <c r="G263" s="107"/>
      <c r="H263" s="108"/>
      <c r="J263" s="109"/>
      <c r="K263" s="110"/>
      <c r="L263" s="110"/>
      <c r="M263" s="110"/>
      <c r="N263" s="110"/>
      <c r="O263" s="110"/>
      <c r="R263" s="101"/>
      <c r="S263" s="101"/>
    </row>
    <row r="264">
      <c r="C264" s="90"/>
      <c r="D264" s="90"/>
      <c r="E264" s="67"/>
      <c r="F264" s="90"/>
      <c r="G264" s="107"/>
      <c r="H264" s="108"/>
      <c r="J264" s="109"/>
      <c r="K264" s="110"/>
      <c r="L264" s="110"/>
      <c r="M264" s="110"/>
      <c r="N264" s="110"/>
      <c r="O264" s="110"/>
      <c r="R264" s="101"/>
      <c r="S264" s="101"/>
    </row>
    <row r="265">
      <c r="C265" s="90"/>
      <c r="D265" s="90"/>
      <c r="E265" s="67"/>
      <c r="F265" s="90"/>
      <c r="G265" s="107"/>
      <c r="H265" s="108"/>
      <c r="J265" s="109"/>
      <c r="K265" s="110"/>
      <c r="L265" s="110"/>
      <c r="M265" s="110"/>
      <c r="N265" s="110"/>
      <c r="O265" s="110"/>
      <c r="R265" s="101"/>
      <c r="S265" s="101"/>
    </row>
    <row r="266">
      <c r="C266" s="90"/>
      <c r="D266" s="90"/>
      <c r="E266" s="67"/>
      <c r="F266" s="90"/>
      <c r="G266" s="107"/>
      <c r="H266" s="108"/>
      <c r="J266" s="109"/>
      <c r="K266" s="110"/>
      <c r="L266" s="110"/>
      <c r="M266" s="110"/>
      <c r="N266" s="110"/>
      <c r="O266" s="110"/>
      <c r="R266" s="101"/>
      <c r="S266" s="101"/>
    </row>
    <row r="267">
      <c r="C267" s="90"/>
      <c r="D267" s="90"/>
      <c r="E267" s="67"/>
      <c r="F267" s="90"/>
      <c r="G267" s="107"/>
      <c r="H267" s="108"/>
      <c r="J267" s="109"/>
      <c r="K267" s="110"/>
      <c r="L267" s="110"/>
      <c r="M267" s="110"/>
      <c r="N267" s="110"/>
      <c r="O267" s="110"/>
      <c r="R267" s="101"/>
      <c r="S267" s="101"/>
    </row>
    <row r="268">
      <c r="C268" s="90"/>
      <c r="D268" s="90"/>
      <c r="E268" s="67"/>
      <c r="F268" s="90"/>
      <c r="G268" s="107"/>
      <c r="H268" s="108"/>
      <c r="J268" s="109"/>
      <c r="K268" s="110"/>
      <c r="L268" s="110"/>
      <c r="M268" s="110"/>
      <c r="N268" s="110"/>
      <c r="O268" s="110"/>
      <c r="R268" s="101"/>
      <c r="S268" s="101"/>
    </row>
    <row r="269">
      <c r="C269" s="90"/>
      <c r="D269" s="90"/>
      <c r="E269" s="67"/>
      <c r="F269" s="90"/>
      <c r="G269" s="107"/>
      <c r="H269" s="108"/>
      <c r="J269" s="109"/>
      <c r="K269" s="110"/>
      <c r="L269" s="110"/>
      <c r="M269" s="110"/>
      <c r="N269" s="110"/>
      <c r="O269" s="110"/>
      <c r="R269" s="101"/>
      <c r="S269" s="101"/>
    </row>
    <row r="270">
      <c r="C270" s="90"/>
      <c r="D270" s="90"/>
      <c r="E270" s="67"/>
      <c r="F270" s="90"/>
      <c r="G270" s="107"/>
      <c r="H270" s="108"/>
      <c r="J270" s="109"/>
      <c r="K270" s="110"/>
      <c r="L270" s="110"/>
      <c r="M270" s="110"/>
      <c r="N270" s="110"/>
      <c r="O270" s="110"/>
      <c r="R270" s="101"/>
      <c r="S270" s="101"/>
    </row>
    <row r="271">
      <c r="C271" s="90"/>
      <c r="D271" s="90"/>
      <c r="E271" s="67"/>
      <c r="F271" s="90"/>
      <c r="G271" s="107"/>
      <c r="H271" s="108"/>
      <c r="J271" s="109"/>
      <c r="K271" s="110"/>
      <c r="L271" s="110"/>
      <c r="M271" s="110"/>
      <c r="N271" s="110"/>
      <c r="O271" s="110"/>
      <c r="R271" s="101"/>
      <c r="S271" s="101"/>
    </row>
    <row r="272">
      <c r="C272" s="90"/>
      <c r="D272" s="90"/>
      <c r="E272" s="67"/>
      <c r="F272" s="90"/>
      <c r="G272" s="107"/>
      <c r="H272" s="108"/>
      <c r="J272" s="109"/>
      <c r="K272" s="110"/>
      <c r="L272" s="110"/>
      <c r="M272" s="110"/>
      <c r="N272" s="110"/>
      <c r="O272" s="110"/>
      <c r="R272" s="101"/>
      <c r="S272" s="101"/>
    </row>
    <row r="273">
      <c r="C273" s="90"/>
      <c r="D273" s="90"/>
      <c r="E273" s="67"/>
      <c r="F273" s="90"/>
      <c r="G273" s="107"/>
      <c r="H273" s="108"/>
      <c r="J273" s="109"/>
      <c r="K273" s="110"/>
      <c r="L273" s="110"/>
      <c r="M273" s="110"/>
      <c r="N273" s="110"/>
      <c r="O273" s="110"/>
      <c r="R273" s="101"/>
      <c r="S273" s="101"/>
    </row>
    <row r="274">
      <c r="C274" s="90"/>
      <c r="D274" s="90"/>
      <c r="E274" s="67"/>
      <c r="F274" s="90"/>
      <c r="G274" s="107"/>
      <c r="H274" s="108"/>
      <c r="J274" s="109"/>
      <c r="K274" s="110"/>
      <c r="L274" s="110"/>
      <c r="M274" s="110"/>
      <c r="N274" s="110"/>
      <c r="O274" s="110"/>
      <c r="R274" s="101"/>
      <c r="S274" s="101"/>
    </row>
    <row r="275">
      <c r="C275" s="90"/>
      <c r="D275" s="90"/>
      <c r="E275" s="67"/>
      <c r="F275" s="90"/>
      <c r="G275" s="107"/>
      <c r="H275" s="108"/>
      <c r="J275" s="109"/>
      <c r="K275" s="110"/>
      <c r="L275" s="110"/>
      <c r="M275" s="110"/>
      <c r="N275" s="110"/>
      <c r="O275" s="110"/>
      <c r="R275" s="101"/>
      <c r="S275" s="101"/>
    </row>
    <row r="276">
      <c r="C276" s="90"/>
      <c r="D276" s="90"/>
      <c r="E276" s="67"/>
      <c r="F276" s="90"/>
      <c r="G276" s="107"/>
      <c r="H276" s="108"/>
      <c r="J276" s="109"/>
      <c r="K276" s="110"/>
      <c r="L276" s="110"/>
      <c r="M276" s="110"/>
      <c r="N276" s="110"/>
      <c r="O276" s="110"/>
      <c r="R276" s="101"/>
      <c r="S276" s="101"/>
    </row>
    <row r="277">
      <c r="C277" s="90"/>
      <c r="D277" s="90"/>
      <c r="E277" s="67"/>
      <c r="F277" s="90"/>
      <c r="G277" s="107"/>
      <c r="H277" s="108"/>
      <c r="J277" s="109"/>
      <c r="K277" s="110"/>
      <c r="L277" s="110"/>
      <c r="M277" s="110"/>
      <c r="N277" s="110"/>
      <c r="O277" s="110"/>
      <c r="R277" s="101"/>
      <c r="S277" s="101"/>
    </row>
    <row r="278">
      <c r="C278" s="90"/>
      <c r="D278" s="90"/>
      <c r="E278" s="67"/>
      <c r="F278" s="90"/>
      <c r="G278" s="107"/>
      <c r="H278" s="108"/>
      <c r="J278" s="109"/>
      <c r="K278" s="110"/>
      <c r="L278" s="110"/>
      <c r="M278" s="110"/>
      <c r="N278" s="110"/>
      <c r="O278" s="110"/>
      <c r="R278" s="101"/>
      <c r="S278" s="101"/>
    </row>
    <row r="279">
      <c r="C279" s="90"/>
      <c r="D279" s="90"/>
      <c r="E279" s="67"/>
      <c r="F279" s="90"/>
      <c r="G279" s="107"/>
      <c r="H279" s="108"/>
      <c r="J279" s="109"/>
      <c r="K279" s="110"/>
      <c r="L279" s="110"/>
      <c r="M279" s="110"/>
      <c r="N279" s="110"/>
      <c r="O279" s="110"/>
      <c r="R279" s="101"/>
      <c r="S279" s="101"/>
    </row>
    <row r="280">
      <c r="C280" s="90"/>
      <c r="D280" s="90"/>
      <c r="E280" s="67"/>
      <c r="F280" s="90"/>
      <c r="G280" s="107"/>
      <c r="H280" s="108"/>
      <c r="J280" s="109"/>
      <c r="K280" s="110"/>
      <c r="L280" s="110"/>
      <c r="M280" s="110"/>
      <c r="N280" s="110"/>
      <c r="O280" s="110"/>
      <c r="R280" s="101"/>
      <c r="S280" s="101"/>
    </row>
    <row r="281">
      <c r="C281" s="90"/>
      <c r="D281" s="90"/>
      <c r="E281" s="67"/>
      <c r="F281" s="90"/>
      <c r="G281" s="107"/>
      <c r="H281" s="108"/>
      <c r="J281" s="109"/>
      <c r="K281" s="110"/>
      <c r="L281" s="110"/>
      <c r="M281" s="110"/>
      <c r="N281" s="110"/>
      <c r="O281" s="110"/>
      <c r="R281" s="101"/>
      <c r="S281" s="101"/>
    </row>
    <row r="282">
      <c r="C282" s="90"/>
      <c r="D282" s="90"/>
      <c r="E282" s="67"/>
      <c r="F282" s="90"/>
      <c r="G282" s="107"/>
      <c r="H282" s="108"/>
      <c r="J282" s="109"/>
      <c r="K282" s="110"/>
      <c r="L282" s="110"/>
      <c r="M282" s="110"/>
      <c r="N282" s="110"/>
      <c r="O282" s="110"/>
      <c r="R282" s="101"/>
      <c r="S282" s="101"/>
    </row>
    <row r="283">
      <c r="C283" s="90"/>
      <c r="D283" s="90"/>
      <c r="E283" s="67"/>
      <c r="F283" s="90"/>
      <c r="G283" s="107"/>
      <c r="H283" s="108"/>
      <c r="J283" s="109"/>
      <c r="K283" s="110"/>
      <c r="L283" s="110"/>
      <c r="M283" s="110"/>
      <c r="N283" s="110"/>
      <c r="O283" s="110"/>
      <c r="R283" s="101"/>
      <c r="S283" s="101"/>
    </row>
    <row r="284">
      <c r="C284" s="90"/>
      <c r="D284" s="90"/>
      <c r="E284" s="67"/>
      <c r="F284" s="90"/>
      <c r="G284" s="107"/>
      <c r="H284" s="108"/>
      <c r="J284" s="109"/>
      <c r="K284" s="110"/>
      <c r="L284" s="110"/>
      <c r="M284" s="110"/>
      <c r="N284" s="110"/>
      <c r="O284" s="110"/>
      <c r="R284" s="101"/>
      <c r="S284" s="101"/>
    </row>
    <row r="285">
      <c r="C285" s="90"/>
      <c r="D285" s="90"/>
      <c r="E285" s="67"/>
      <c r="F285" s="90"/>
      <c r="G285" s="107"/>
      <c r="H285" s="108"/>
      <c r="J285" s="109"/>
      <c r="K285" s="110"/>
      <c r="L285" s="110"/>
      <c r="M285" s="110"/>
      <c r="N285" s="110"/>
      <c r="O285" s="110"/>
      <c r="R285" s="101"/>
      <c r="S285" s="101"/>
    </row>
    <row r="286">
      <c r="C286" s="90"/>
      <c r="D286" s="90"/>
      <c r="E286" s="67"/>
      <c r="F286" s="90"/>
      <c r="G286" s="107"/>
      <c r="H286" s="108"/>
      <c r="J286" s="109"/>
      <c r="K286" s="110"/>
      <c r="L286" s="110"/>
      <c r="M286" s="110"/>
      <c r="N286" s="110"/>
      <c r="O286" s="110"/>
      <c r="R286" s="101"/>
      <c r="S286" s="101"/>
    </row>
    <row r="287">
      <c r="C287" s="90"/>
      <c r="D287" s="90"/>
      <c r="E287" s="67"/>
      <c r="F287" s="90"/>
      <c r="G287" s="107"/>
      <c r="H287" s="108"/>
      <c r="J287" s="109"/>
      <c r="K287" s="110"/>
      <c r="L287" s="110"/>
      <c r="M287" s="110"/>
      <c r="N287" s="110"/>
      <c r="O287" s="110"/>
      <c r="R287" s="101"/>
      <c r="S287" s="101"/>
    </row>
    <row r="288">
      <c r="C288" s="90"/>
      <c r="D288" s="90"/>
      <c r="E288" s="67"/>
      <c r="F288" s="90"/>
      <c r="G288" s="107"/>
      <c r="H288" s="108"/>
      <c r="J288" s="109"/>
      <c r="K288" s="110"/>
      <c r="L288" s="110"/>
      <c r="M288" s="110"/>
      <c r="N288" s="110"/>
      <c r="O288" s="110"/>
      <c r="R288" s="101"/>
      <c r="S288" s="101"/>
    </row>
    <row r="289">
      <c r="C289" s="90"/>
      <c r="D289" s="90"/>
      <c r="E289" s="67"/>
      <c r="F289" s="90"/>
      <c r="G289" s="107"/>
      <c r="H289" s="108"/>
      <c r="J289" s="109"/>
      <c r="K289" s="110"/>
      <c r="L289" s="110"/>
      <c r="M289" s="110"/>
      <c r="N289" s="110"/>
      <c r="O289" s="110"/>
      <c r="R289" s="101"/>
      <c r="S289" s="101"/>
    </row>
    <row r="290">
      <c r="C290" s="90"/>
      <c r="D290" s="90"/>
      <c r="E290" s="67"/>
      <c r="F290" s="90"/>
      <c r="G290" s="107"/>
      <c r="H290" s="108"/>
      <c r="J290" s="109"/>
      <c r="K290" s="110"/>
      <c r="L290" s="110"/>
      <c r="M290" s="110"/>
      <c r="N290" s="110"/>
      <c r="O290" s="110"/>
      <c r="R290" s="101"/>
      <c r="S290" s="101"/>
    </row>
    <row r="291">
      <c r="C291" s="90"/>
      <c r="D291" s="90"/>
      <c r="E291" s="67"/>
      <c r="F291" s="90"/>
      <c r="G291" s="107"/>
      <c r="H291" s="108"/>
      <c r="J291" s="109"/>
      <c r="K291" s="110"/>
      <c r="L291" s="110"/>
      <c r="M291" s="110"/>
      <c r="N291" s="110"/>
      <c r="O291" s="110"/>
      <c r="R291" s="101"/>
      <c r="S291" s="101"/>
    </row>
    <row r="292">
      <c r="C292" s="90"/>
      <c r="D292" s="90"/>
      <c r="E292" s="67"/>
      <c r="F292" s="90"/>
      <c r="G292" s="107"/>
      <c r="H292" s="108"/>
      <c r="J292" s="109"/>
      <c r="K292" s="110"/>
      <c r="L292" s="110"/>
      <c r="M292" s="110"/>
      <c r="N292" s="110"/>
      <c r="O292" s="110"/>
      <c r="R292" s="101"/>
      <c r="S292" s="101"/>
    </row>
    <row r="293">
      <c r="C293" s="90"/>
      <c r="D293" s="90"/>
      <c r="E293" s="67"/>
      <c r="F293" s="90"/>
      <c r="G293" s="107"/>
      <c r="H293" s="108"/>
      <c r="J293" s="109"/>
      <c r="K293" s="110"/>
      <c r="L293" s="110"/>
      <c r="M293" s="110"/>
      <c r="N293" s="110"/>
      <c r="O293" s="110"/>
      <c r="R293" s="101"/>
      <c r="S293" s="101"/>
    </row>
    <row r="294">
      <c r="C294" s="90"/>
      <c r="D294" s="90"/>
      <c r="E294" s="67"/>
      <c r="F294" s="90"/>
      <c r="G294" s="107"/>
      <c r="H294" s="108"/>
      <c r="J294" s="109"/>
      <c r="K294" s="110"/>
      <c r="L294" s="110"/>
      <c r="M294" s="110"/>
      <c r="N294" s="110"/>
      <c r="O294" s="110"/>
      <c r="R294" s="101"/>
      <c r="S294" s="101"/>
    </row>
    <row r="295">
      <c r="C295" s="90"/>
      <c r="D295" s="90"/>
      <c r="E295" s="67"/>
      <c r="F295" s="90"/>
      <c r="G295" s="107"/>
      <c r="H295" s="108"/>
      <c r="J295" s="109"/>
      <c r="K295" s="110"/>
      <c r="L295" s="110"/>
      <c r="M295" s="110"/>
      <c r="N295" s="110"/>
      <c r="O295" s="110"/>
      <c r="R295" s="101"/>
      <c r="S295" s="101"/>
    </row>
    <row r="296">
      <c r="C296" s="90"/>
      <c r="D296" s="90"/>
      <c r="E296" s="67"/>
      <c r="F296" s="90"/>
      <c r="G296" s="107"/>
      <c r="H296" s="108"/>
      <c r="J296" s="109"/>
      <c r="K296" s="110"/>
      <c r="L296" s="110"/>
      <c r="M296" s="110"/>
      <c r="N296" s="110"/>
      <c r="O296" s="110"/>
      <c r="R296" s="101"/>
      <c r="S296" s="101"/>
    </row>
    <row r="297">
      <c r="C297" s="90"/>
      <c r="D297" s="90"/>
      <c r="E297" s="67"/>
      <c r="F297" s="90"/>
      <c r="G297" s="107"/>
      <c r="H297" s="108"/>
      <c r="J297" s="109"/>
      <c r="K297" s="110"/>
      <c r="L297" s="110"/>
      <c r="M297" s="110"/>
      <c r="N297" s="110"/>
      <c r="O297" s="110"/>
      <c r="R297" s="101"/>
      <c r="S297" s="101"/>
    </row>
    <row r="298">
      <c r="C298" s="90"/>
      <c r="D298" s="90"/>
      <c r="E298" s="67"/>
      <c r="F298" s="90"/>
      <c r="G298" s="107"/>
      <c r="H298" s="108"/>
      <c r="J298" s="109"/>
      <c r="K298" s="110"/>
      <c r="L298" s="110"/>
      <c r="M298" s="110"/>
      <c r="N298" s="110"/>
      <c r="O298" s="110"/>
      <c r="R298" s="101"/>
      <c r="S298" s="101"/>
    </row>
    <row r="299">
      <c r="C299" s="90"/>
      <c r="D299" s="90"/>
      <c r="E299" s="67"/>
      <c r="F299" s="90"/>
      <c r="G299" s="107"/>
      <c r="H299" s="108"/>
      <c r="J299" s="109"/>
      <c r="K299" s="110"/>
      <c r="L299" s="110"/>
      <c r="M299" s="110"/>
      <c r="N299" s="110"/>
      <c r="O299" s="110"/>
      <c r="R299" s="101"/>
      <c r="S299" s="101"/>
    </row>
    <row r="300">
      <c r="C300" s="90"/>
      <c r="D300" s="90"/>
      <c r="E300" s="67"/>
      <c r="F300" s="90"/>
      <c r="G300" s="107"/>
      <c r="H300" s="108"/>
      <c r="J300" s="109"/>
      <c r="K300" s="110"/>
      <c r="L300" s="110"/>
      <c r="M300" s="110"/>
      <c r="N300" s="110"/>
      <c r="O300" s="110"/>
      <c r="R300" s="101"/>
      <c r="S300" s="101"/>
    </row>
    <row r="301">
      <c r="C301" s="90"/>
      <c r="D301" s="90"/>
      <c r="E301" s="67"/>
      <c r="F301" s="90"/>
      <c r="G301" s="107"/>
      <c r="H301" s="108"/>
      <c r="J301" s="109"/>
      <c r="K301" s="110"/>
      <c r="L301" s="110"/>
      <c r="M301" s="110"/>
      <c r="N301" s="110"/>
      <c r="O301" s="110"/>
      <c r="R301" s="101"/>
      <c r="S301" s="101"/>
    </row>
    <row r="302">
      <c r="C302" s="90"/>
      <c r="D302" s="90"/>
      <c r="E302" s="67"/>
      <c r="F302" s="90"/>
      <c r="G302" s="107"/>
      <c r="H302" s="108"/>
      <c r="J302" s="109"/>
      <c r="K302" s="110"/>
      <c r="L302" s="110"/>
      <c r="M302" s="110"/>
      <c r="N302" s="110"/>
      <c r="O302" s="110"/>
      <c r="R302" s="101"/>
      <c r="S302" s="101"/>
    </row>
    <row r="303">
      <c r="C303" s="90"/>
      <c r="D303" s="90"/>
      <c r="E303" s="67"/>
      <c r="F303" s="90"/>
      <c r="G303" s="107"/>
      <c r="H303" s="108"/>
      <c r="J303" s="109"/>
      <c r="K303" s="110"/>
      <c r="L303" s="110"/>
      <c r="M303" s="110"/>
      <c r="N303" s="110"/>
      <c r="O303" s="110"/>
      <c r="R303" s="101"/>
      <c r="S303" s="101"/>
    </row>
    <row r="304">
      <c r="C304" s="90"/>
      <c r="D304" s="90"/>
      <c r="E304" s="67"/>
      <c r="F304" s="90"/>
      <c r="G304" s="107"/>
      <c r="H304" s="108"/>
      <c r="J304" s="109"/>
      <c r="K304" s="110"/>
      <c r="L304" s="110"/>
      <c r="M304" s="110"/>
      <c r="N304" s="110"/>
      <c r="O304" s="110"/>
      <c r="R304" s="101"/>
      <c r="S304" s="101"/>
    </row>
    <row r="305">
      <c r="C305" s="90"/>
      <c r="D305" s="90"/>
      <c r="E305" s="67"/>
      <c r="F305" s="90"/>
      <c r="G305" s="107"/>
      <c r="H305" s="108"/>
      <c r="J305" s="109"/>
      <c r="K305" s="110"/>
      <c r="L305" s="110"/>
      <c r="M305" s="110"/>
      <c r="N305" s="110"/>
      <c r="O305" s="110"/>
      <c r="R305" s="101"/>
      <c r="S305" s="101"/>
    </row>
    <row r="306">
      <c r="C306" s="90"/>
      <c r="D306" s="90"/>
      <c r="E306" s="67"/>
      <c r="F306" s="90"/>
      <c r="G306" s="107"/>
      <c r="H306" s="108"/>
      <c r="J306" s="109"/>
      <c r="K306" s="110"/>
      <c r="L306" s="110"/>
      <c r="M306" s="110"/>
      <c r="N306" s="110"/>
      <c r="O306" s="110"/>
      <c r="R306" s="101"/>
      <c r="S306" s="101"/>
    </row>
    <row r="307">
      <c r="C307" s="90"/>
      <c r="D307" s="90"/>
      <c r="E307" s="67"/>
      <c r="F307" s="90"/>
      <c r="G307" s="107"/>
      <c r="H307" s="108"/>
      <c r="J307" s="109"/>
      <c r="K307" s="110"/>
      <c r="L307" s="110"/>
      <c r="M307" s="110"/>
      <c r="N307" s="110"/>
      <c r="O307" s="110"/>
      <c r="R307" s="101"/>
      <c r="S307" s="101"/>
    </row>
    <row r="308">
      <c r="C308" s="90"/>
      <c r="D308" s="90"/>
      <c r="E308" s="67"/>
      <c r="F308" s="90"/>
      <c r="G308" s="107"/>
      <c r="H308" s="108"/>
      <c r="J308" s="109"/>
      <c r="K308" s="110"/>
      <c r="L308" s="110"/>
      <c r="M308" s="110"/>
      <c r="N308" s="110"/>
      <c r="O308" s="110"/>
      <c r="R308" s="101"/>
      <c r="S308" s="101"/>
    </row>
    <row r="309">
      <c r="C309" s="90"/>
      <c r="D309" s="90"/>
      <c r="E309" s="67"/>
      <c r="F309" s="90"/>
      <c r="G309" s="107"/>
      <c r="H309" s="108"/>
      <c r="J309" s="109"/>
      <c r="K309" s="110"/>
      <c r="L309" s="110"/>
      <c r="M309" s="110"/>
      <c r="N309" s="110"/>
      <c r="O309" s="110"/>
      <c r="R309" s="101"/>
      <c r="S309" s="101"/>
    </row>
    <row r="310">
      <c r="C310" s="90"/>
      <c r="D310" s="90"/>
      <c r="E310" s="67"/>
      <c r="F310" s="90"/>
      <c r="G310" s="107"/>
      <c r="H310" s="108"/>
      <c r="J310" s="109"/>
      <c r="K310" s="110"/>
      <c r="L310" s="110"/>
      <c r="M310" s="110"/>
      <c r="N310" s="110"/>
      <c r="O310" s="110"/>
      <c r="R310" s="101"/>
      <c r="S310" s="101"/>
    </row>
    <row r="311">
      <c r="C311" s="90"/>
      <c r="D311" s="90"/>
      <c r="E311" s="67"/>
      <c r="F311" s="90"/>
      <c r="G311" s="107"/>
      <c r="H311" s="108"/>
      <c r="J311" s="109"/>
      <c r="K311" s="110"/>
      <c r="L311" s="110"/>
      <c r="M311" s="110"/>
      <c r="N311" s="110"/>
      <c r="O311" s="110"/>
      <c r="R311" s="101"/>
      <c r="S311" s="101"/>
    </row>
    <row r="312">
      <c r="C312" s="90"/>
      <c r="D312" s="90"/>
      <c r="E312" s="67"/>
      <c r="F312" s="90"/>
      <c r="G312" s="107"/>
      <c r="H312" s="108"/>
      <c r="J312" s="109"/>
      <c r="K312" s="110"/>
      <c r="L312" s="110"/>
      <c r="M312" s="110"/>
      <c r="N312" s="110"/>
      <c r="O312" s="110"/>
      <c r="R312" s="101"/>
      <c r="S312" s="101"/>
    </row>
    <row r="313">
      <c r="C313" s="90"/>
      <c r="D313" s="90"/>
      <c r="E313" s="67"/>
      <c r="F313" s="90"/>
      <c r="G313" s="107"/>
      <c r="H313" s="108"/>
      <c r="J313" s="109"/>
      <c r="K313" s="110"/>
      <c r="L313" s="110"/>
      <c r="M313" s="110"/>
      <c r="N313" s="110"/>
      <c r="O313" s="110"/>
      <c r="R313" s="101"/>
      <c r="S313" s="101"/>
    </row>
    <row r="314">
      <c r="C314" s="90"/>
      <c r="D314" s="90"/>
      <c r="E314" s="67"/>
      <c r="F314" s="90"/>
      <c r="G314" s="107"/>
      <c r="H314" s="108"/>
      <c r="J314" s="109"/>
      <c r="K314" s="110"/>
      <c r="L314" s="110"/>
      <c r="M314" s="110"/>
      <c r="N314" s="110"/>
      <c r="O314" s="110"/>
      <c r="R314" s="101"/>
      <c r="S314" s="101"/>
    </row>
    <row r="315">
      <c r="C315" s="90"/>
      <c r="D315" s="90"/>
      <c r="E315" s="67"/>
      <c r="F315" s="90"/>
      <c r="G315" s="107"/>
      <c r="H315" s="108"/>
      <c r="J315" s="109"/>
      <c r="K315" s="110"/>
      <c r="L315" s="110"/>
      <c r="M315" s="110"/>
      <c r="N315" s="110"/>
      <c r="O315" s="110"/>
      <c r="R315" s="101"/>
      <c r="S315" s="101"/>
    </row>
    <row r="316">
      <c r="C316" s="90"/>
      <c r="D316" s="90"/>
      <c r="E316" s="67"/>
      <c r="F316" s="90"/>
      <c r="G316" s="107"/>
      <c r="H316" s="108"/>
      <c r="J316" s="109"/>
      <c r="K316" s="110"/>
      <c r="L316" s="110"/>
      <c r="M316" s="110"/>
      <c r="N316" s="110"/>
      <c r="O316" s="110"/>
      <c r="R316" s="101"/>
      <c r="S316" s="101"/>
    </row>
    <row r="317">
      <c r="C317" s="90"/>
      <c r="D317" s="90"/>
      <c r="E317" s="67"/>
      <c r="F317" s="90"/>
      <c r="G317" s="107"/>
      <c r="H317" s="108"/>
      <c r="J317" s="109"/>
      <c r="K317" s="110"/>
      <c r="L317" s="110"/>
      <c r="M317" s="110"/>
      <c r="N317" s="110"/>
      <c r="O317" s="110"/>
      <c r="R317" s="101"/>
      <c r="S317" s="101"/>
    </row>
    <row r="318">
      <c r="C318" s="90"/>
      <c r="D318" s="90"/>
      <c r="E318" s="67"/>
      <c r="F318" s="90"/>
      <c r="G318" s="107"/>
      <c r="H318" s="108"/>
      <c r="J318" s="109"/>
      <c r="K318" s="110"/>
      <c r="L318" s="110"/>
      <c r="M318" s="110"/>
      <c r="N318" s="110"/>
      <c r="O318" s="110"/>
      <c r="R318" s="101"/>
      <c r="S318" s="101"/>
    </row>
    <row r="319">
      <c r="C319" s="90"/>
      <c r="D319" s="90"/>
      <c r="E319" s="67"/>
      <c r="F319" s="90"/>
      <c r="G319" s="107"/>
      <c r="H319" s="108"/>
      <c r="J319" s="109"/>
      <c r="K319" s="110"/>
      <c r="L319" s="110"/>
      <c r="M319" s="110"/>
      <c r="N319" s="110"/>
      <c r="O319" s="110"/>
      <c r="R319" s="101"/>
      <c r="S319" s="101"/>
    </row>
    <row r="320">
      <c r="C320" s="90"/>
      <c r="D320" s="90"/>
      <c r="E320" s="67"/>
      <c r="F320" s="90"/>
      <c r="G320" s="107"/>
      <c r="H320" s="108"/>
      <c r="J320" s="109"/>
      <c r="K320" s="110"/>
      <c r="L320" s="110"/>
      <c r="M320" s="110"/>
      <c r="N320" s="110"/>
      <c r="O320" s="110"/>
      <c r="R320" s="101"/>
      <c r="S320" s="101"/>
    </row>
    <row r="321">
      <c r="C321" s="90"/>
      <c r="D321" s="90"/>
      <c r="E321" s="67"/>
      <c r="F321" s="90"/>
      <c r="G321" s="107"/>
      <c r="H321" s="108"/>
      <c r="J321" s="109"/>
      <c r="K321" s="110"/>
      <c r="L321" s="110"/>
      <c r="M321" s="110"/>
      <c r="N321" s="110"/>
      <c r="O321" s="110"/>
      <c r="R321" s="101"/>
      <c r="S321" s="101"/>
    </row>
    <row r="322">
      <c r="C322" s="90"/>
      <c r="D322" s="90"/>
      <c r="E322" s="67"/>
      <c r="F322" s="90"/>
      <c r="G322" s="107"/>
      <c r="H322" s="108"/>
      <c r="J322" s="109"/>
      <c r="K322" s="110"/>
      <c r="L322" s="110"/>
      <c r="M322" s="110"/>
      <c r="N322" s="110"/>
      <c r="O322" s="110"/>
      <c r="R322" s="101"/>
      <c r="S322" s="101"/>
    </row>
    <row r="323">
      <c r="C323" s="90"/>
      <c r="D323" s="90"/>
      <c r="E323" s="67"/>
      <c r="F323" s="90"/>
      <c r="G323" s="107"/>
      <c r="H323" s="108"/>
      <c r="J323" s="109"/>
      <c r="K323" s="110"/>
      <c r="L323" s="110"/>
      <c r="M323" s="110"/>
      <c r="N323" s="110"/>
      <c r="O323" s="110"/>
      <c r="R323" s="101"/>
      <c r="S323" s="101"/>
    </row>
    <row r="324">
      <c r="C324" s="90"/>
      <c r="D324" s="90"/>
      <c r="E324" s="67"/>
      <c r="F324" s="90"/>
      <c r="G324" s="107"/>
      <c r="H324" s="108"/>
      <c r="J324" s="109"/>
      <c r="K324" s="110"/>
      <c r="L324" s="110"/>
      <c r="M324" s="110"/>
      <c r="N324" s="110"/>
      <c r="O324" s="110"/>
      <c r="R324" s="101"/>
      <c r="S324" s="101"/>
    </row>
    <row r="325">
      <c r="C325" s="90"/>
      <c r="D325" s="90"/>
      <c r="E325" s="67"/>
      <c r="F325" s="90"/>
      <c r="G325" s="107"/>
      <c r="H325" s="108"/>
      <c r="J325" s="109"/>
      <c r="K325" s="110"/>
      <c r="L325" s="110"/>
      <c r="M325" s="110"/>
      <c r="N325" s="110"/>
      <c r="O325" s="110"/>
      <c r="R325" s="101"/>
      <c r="S325" s="101"/>
    </row>
    <row r="326">
      <c r="C326" s="90"/>
      <c r="D326" s="90"/>
      <c r="E326" s="67"/>
      <c r="F326" s="90"/>
      <c r="G326" s="107"/>
      <c r="H326" s="108"/>
      <c r="J326" s="109"/>
      <c r="K326" s="110"/>
      <c r="L326" s="110"/>
      <c r="M326" s="110"/>
      <c r="N326" s="110"/>
      <c r="O326" s="110"/>
      <c r="R326" s="101"/>
      <c r="S326" s="101"/>
    </row>
    <row r="327">
      <c r="C327" s="90"/>
      <c r="D327" s="90"/>
      <c r="E327" s="67"/>
      <c r="F327" s="90"/>
      <c r="G327" s="107"/>
      <c r="H327" s="108"/>
      <c r="J327" s="109"/>
      <c r="K327" s="110"/>
      <c r="L327" s="110"/>
      <c r="M327" s="110"/>
      <c r="N327" s="110"/>
      <c r="O327" s="110"/>
      <c r="R327" s="101"/>
      <c r="S327" s="101"/>
    </row>
    <row r="328">
      <c r="C328" s="90"/>
      <c r="D328" s="90"/>
      <c r="E328" s="67"/>
      <c r="F328" s="90"/>
      <c r="G328" s="107"/>
      <c r="H328" s="108"/>
      <c r="J328" s="109"/>
      <c r="K328" s="110"/>
      <c r="L328" s="110"/>
      <c r="M328" s="110"/>
      <c r="N328" s="110"/>
      <c r="O328" s="110"/>
      <c r="R328" s="101"/>
      <c r="S328" s="101"/>
    </row>
    <row r="329">
      <c r="C329" s="90"/>
      <c r="D329" s="90"/>
      <c r="E329" s="67"/>
      <c r="F329" s="90"/>
      <c r="G329" s="107"/>
      <c r="H329" s="108"/>
      <c r="J329" s="109"/>
      <c r="K329" s="110"/>
      <c r="L329" s="110"/>
      <c r="M329" s="110"/>
      <c r="N329" s="110"/>
      <c r="O329" s="110"/>
      <c r="R329" s="101"/>
      <c r="S329" s="101"/>
    </row>
    <row r="330">
      <c r="C330" s="90"/>
      <c r="D330" s="90"/>
      <c r="E330" s="67"/>
      <c r="F330" s="90"/>
      <c r="G330" s="107"/>
      <c r="H330" s="108"/>
      <c r="J330" s="109"/>
      <c r="K330" s="110"/>
      <c r="L330" s="110"/>
      <c r="M330" s="110"/>
      <c r="N330" s="110"/>
      <c r="O330" s="110"/>
      <c r="R330" s="101"/>
      <c r="S330" s="101"/>
    </row>
    <row r="331">
      <c r="C331" s="90"/>
      <c r="D331" s="90"/>
      <c r="E331" s="67"/>
      <c r="F331" s="90"/>
      <c r="G331" s="107"/>
      <c r="H331" s="108"/>
      <c r="J331" s="109"/>
      <c r="K331" s="110"/>
      <c r="L331" s="110"/>
      <c r="M331" s="110"/>
      <c r="N331" s="110"/>
      <c r="O331" s="110"/>
      <c r="R331" s="101"/>
      <c r="S331" s="101"/>
    </row>
    <row r="332">
      <c r="C332" s="90"/>
      <c r="D332" s="90"/>
      <c r="E332" s="67"/>
      <c r="F332" s="90"/>
      <c r="G332" s="107"/>
      <c r="H332" s="108"/>
      <c r="J332" s="109"/>
      <c r="K332" s="110"/>
      <c r="L332" s="110"/>
      <c r="M332" s="110"/>
      <c r="N332" s="110"/>
      <c r="O332" s="110"/>
      <c r="R332" s="101"/>
      <c r="S332" s="101"/>
    </row>
    <row r="333">
      <c r="C333" s="90"/>
      <c r="D333" s="90"/>
      <c r="E333" s="67"/>
      <c r="F333" s="90"/>
      <c r="G333" s="107"/>
      <c r="H333" s="108"/>
      <c r="J333" s="109"/>
      <c r="K333" s="110"/>
      <c r="L333" s="110"/>
      <c r="M333" s="110"/>
      <c r="N333" s="110"/>
      <c r="O333" s="110"/>
      <c r="R333" s="101"/>
      <c r="S333" s="101"/>
    </row>
    <row r="334">
      <c r="C334" s="90"/>
      <c r="D334" s="90"/>
      <c r="E334" s="67"/>
      <c r="F334" s="90"/>
      <c r="G334" s="107"/>
      <c r="H334" s="108"/>
      <c r="J334" s="109"/>
      <c r="K334" s="110"/>
      <c r="L334" s="110"/>
      <c r="M334" s="110"/>
      <c r="N334" s="110"/>
      <c r="O334" s="110"/>
      <c r="R334" s="101"/>
      <c r="S334" s="101"/>
    </row>
    <row r="335">
      <c r="C335" s="90"/>
      <c r="D335" s="90"/>
      <c r="E335" s="67"/>
      <c r="F335" s="90"/>
      <c r="G335" s="107"/>
      <c r="H335" s="108"/>
      <c r="J335" s="109"/>
      <c r="K335" s="110"/>
      <c r="L335" s="110"/>
      <c r="M335" s="110"/>
      <c r="N335" s="110"/>
      <c r="O335" s="110"/>
      <c r="R335" s="101"/>
      <c r="S335" s="101"/>
    </row>
    <row r="336">
      <c r="C336" s="90"/>
      <c r="D336" s="90"/>
      <c r="E336" s="67"/>
      <c r="F336" s="90"/>
      <c r="G336" s="107"/>
      <c r="H336" s="108"/>
      <c r="J336" s="109"/>
      <c r="K336" s="110"/>
      <c r="L336" s="110"/>
      <c r="M336" s="110"/>
      <c r="N336" s="110"/>
      <c r="O336" s="110"/>
      <c r="R336" s="101"/>
      <c r="S336" s="101"/>
    </row>
    <row r="337">
      <c r="C337" s="90"/>
      <c r="D337" s="90"/>
      <c r="E337" s="67"/>
      <c r="F337" s="90"/>
      <c r="G337" s="107"/>
      <c r="H337" s="108"/>
      <c r="J337" s="109"/>
      <c r="K337" s="110"/>
      <c r="L337" s="110"/>
      <c r="M337" s="110"/>
      <c r="N337" s="110"/>
      <c r="O337" s="110"/>
      <c r="R337" s="101"/>
      <c r="S337" s="101"/>
    </row>
    <row r="338">
      <c r="C338" s="90"/>
      <c r="D338" s="90"/>
      <c r="E338" s="67"/>
      <c r="F338" s="90"/>
      <c r="G338" s="107"/>
      <c r="H338" s="108"/>
      <c r="J338" s="109"/>
      <c r="K338" s="110"/>
      <c r="L338" s="110"/>
      <c r="M338" s="110"/>
      <c r="N338" s="110"/>
      <c r="O338" s="110"/>
      <c r="R338" s="101"/>
      <c r="S338" s="101"/>
    </row>
    <row r="339">
      <c r="C339" s="90"/>
      <c r="D339" s="90"/>
      <c r="E339" s="67"/>
      <c r="F339" s="90"/>
      <c r="G339" s="107"/>
      <c r="H339" s="108"/>
      <c r="J339" s="109"/>
      <c r="K339" s="110"/>
      <c r="L339" s="110"/>
      <c r="M339" s="110"/>
      <c r="N339" s="110"/>
      <c r="O339" s="110"/>
      <c r="R339" s="101"/>
      <c r="S339" s="101"/>
    </row>
    <row r="340">
      <c r="C340" s="90"/>
      <c r="D340" s="90"/>
      <c r="E340" s="67"/>
      <c r="F340" s="90"/>
      <c r="G340" s="107"/>
      <c r="H340" s="108"/>
      <c r="J340" s="109"/>
      <c r="K340" s="110"/>
      <c r="L340" s="110"/>
      <c r="M340" s="110"/>
      <c r="N340" s="110"/>
      <c r="O340" s="110"/>
      <c r="R340" s="101"/>
      <c r="S340" s="101"/>
    </row>
    <row r="341">
      <c r="C341" s="90"/>
      <c r="D341" s="90"/>
      <c r="E341" s="67"/>
      <c r="F341" s="90"/>
      <c r="G341" s="107"/>
      <c r="H341" s="108"/>
      <c r="J341" s="109"/>
      <c r="K341" s="110"/>
      <c r="L341" s="110"/>
      <c r="M341" s="110"/>
      <c r="N341" s="110"/>
      <c r="O341" s="110"/>
      <c r="R341" s="101"/>
      <c r="S341" s="101"/>
    </row>
    <row r="342">
      <c r="C342" s="90"/>
      <c r="D342" s="90"/>
      <c r="E342" s="67"/>
      <c r="F342" s="90"/>
      <c r="G342" s="107"/>
      <c r="H342" s="108"/>
      <c r="J342" s="109"/>
      <c r="K342" s="110"/>
      <c r="L342" s="110"/>
      <c r="M342" s="110"/>
      <c r="N342" s="110"/>
      <c r="O342" s="110"/>
      <c r="R342" s="101"/>
      <c r="S342" s="101"/>
    </row>
    <row r="343">
      <c r="C343" s="90"/>
      <c r="D343" s="90"/>
      <c r="E343" s="67"/>
      <c r="F343" s="90"/>
      <c r="G343" s="107"/>
      <c r="H343" s="108"/>
      <c r="J343" s="109"/>
      <c r="K343" s="110"/>
      <c r="L343" s="110"/>
      <c r="M343" s="110"/>
      <c r="N343" s="110"/>
      <c r="O343" s="110"/>
      <c r="R343" s="101"/>
      <c r="S343" s="101"/>
    </row>
    <row r="344">
      <c r="C344" s="90"/>
      <c r="D344" s="90"/>
      <c r="E344" s="67"/>
      <c r="F344" s="90"/>
      <c r="G344" s="107"/>
      <c r="H344" s="108"/>
      <c r="J344" s="109"/>
      <c r="K344" s="110"/>
      <c r="L344" s="110"/>
      <c r="M344" s="110"/>
      <c r="N344" s="110"/>
      <c r="O344" s="110"/>
      <c r="R344" s="101"/>
      <c r="S344" s="101"/>
    </row>
    <row r="345">
      <c r="C345" s="90"/>
      <c r="D345" s="90"/>
      <c r="E345" s="67"/>
      <c r="F345" s="90"/>
      <c r="G345" s="107"/>
      <c r="H345" s="108"/>
      <c r="J345" s="109"/>
      <c r="K345" s="110"/>
      <c r="L345" s="110"/>
      <c r="M345" s="110"/>
      <c r="N345" s="110"/>
      <c r="O345" s="110"/>
      <c r="R345" s="101"/>
      <c r="S345" s="101"/>
    </row>
    <row r="346">
      <c r="C346" s="90"/>
      <c r="D346" s="90"/>
      <c r="E346" s="67"/>
      <c r="F346" s="90"/>
      <c r="G346" s="107"/>
      <c r="H346" s="108"/>
      <c r="J346" s="109"/>
      <c r="K346" s="110"/>
      <c r="L346" s="110"/>
      <c r="M346" s="110"/>
      <c r="N346" s="110"/>
      <c r="O346" s="110"/>
      <c r="R346" s="101"/>
      <c r="S346" s="101"/>
    </row>
    <row r="347">
      <c r="C347" s="90"/>
      <c r="D347" s="90"/>
      <c r="E347" s="67"/>
      <c r="F347" s="90"/>
      <c r="G347" s="107"/>
      <c r="H347" s="108"/>
      <c r="J347" s="109"/>
      <c r="K347" s="110"/>
      <c r="L347" s="110"/>
      <c r="M347" s="110"/>
      <c r="N347" s="110"/>
      <c r="O347" s="110"/>
      <c r="R347" s="101"/>
      <c r="S347" s="101"/>
    </row>
    <row r="348">
      <c r="C348" s="90"/>
      <c r="D348" s="90"/>
      <c r="E348" s="67"/>
      <c r="F348" s="90"/>
      <c r="G348" s="107"/>
      <c r="H348" s="108"/>
      <c r="J348" s="109"/>
      <c r="K348" s="110"/>
      <c r="L348" s="110"/>
      <c r="M348" s="110"/>
      <c r="N348" s="110"/>
      <c r="O348" s="110"/>
      <c r="R348" s="101"/>
      <c r="S348" s="101"/>
    </row>
    <row r="349">
      <c r="C349" s="90"/>
      <c r="D349" s="90"/>
      <c r="E349" s="67"/>
      <c r="F349" s="90"/>
      <c r="G349" s="107"/>
      <c r="H349" s="108"/>
      <c r="J349" s="109"/>
      <c r="K349" s="110"/>
      <c r="L349" s="110"/>
      <c r="M349" s="110"/>
      <c r="N349" s="110"/>
      <c r="O349" s="110"/>
      <c r="R349" s="101"/>
      <c r="S349" s="101"/>
    </row>
    <row r="350">
      <c r="C350" s="90"/>
      <c r="D350" s="90"/>
      <c r="E350" s="67"/>
      <c r="F350" s="90"/>
      <c r="G350" s="107"/>
      <c r="H350" s="108"/>
      <c r="J350" s="109"/>
      <c r="K350" s="110"/>
      <c r="L350" s="110"/>
      <c r="M350" s="110"/>
      <c r="N350" s="110"/>
      <c r="O350" s="110"/>
      <c r="R350" s="101"/>
      <c r="S350" s="101"/>
    </row>
    <row r="351">
      <c r="C351" s="90"/>
      <c r="D351" s="90"/>
      <c r="E351" s="67"/>
      <c r="F351" s="90"/>
      <c r="G351" s="107"/>
      <c r="H351" s="108"/>
      <c r="J351" s="109"/>
      <c r="K351" s="110"/>
      <c r="L351" s="110"/>
      <c r="M351" s="110"/>
      <c r="N351" s="110"/>
      <c r="O351" s="110"/>
      <c r="R351" s="101"/>
      <c r="S351" s="101"/>
    </row>
    <row r="352">
      <c r="C352" s="90"/>
      <c r="D352" s="90"/>
      <c r="E352" s="67"/>
      <c r="F352" s="90"/>
      <c r="G352" s="107"/>
      <c r="H352" s="108"/>
      <c r="J352" s="109"/>
      <c r="K352" s="110"/>
      <c r="L352" s="110"/>
      <c r="M352" s="110"/>
      <c r="N352" s="110"/>
      <c r="O352" s="110"/>
      <c r="R352" s="101"/>
      <c r="S352" s="101"/>
    </row>
    <row r="353">
      <c r="C353" s="90"/>
      <c r="D353" s="90"/>
      <c r="E353" s="67"/>
      <c r="F353" s="90"/>
      <c r="G353" s="107"/>
      <c r="H353" s="108"/>
      <c r="J353" s="109"/>
      <c r="K353" s="110"/>
      <c r="L353" s="110"/>
      <c r="M353" s="110"/>
      <c r="N353" s="110"/>
      <c r="O353" s="110"/>
      <c r="R353" s="101"/>
      <c r="S353" s="101"/>
    </row>
    <row r="354">
      <c r="C354" s="90"/>
      <c r="D354" s="90"/>
      <c r="E354" s="67"/>
      <c r="F354" s="90"/>
      <c r="G354" s="107"/>
      <c r="H354" s="108"/>
      <c r="J354" s="109"/>
      <c r="K354" s="110"/>
      <c r="L354" s="110"/>
      <c r="M354" s="110"/>
      <c r="N354" s="110"/>
      <c r="O354" s="110"/>
      <c r="R354" s="101"/>
      <c r="S354" s="101"/>
    </row>
    <row r="355">
      <c r="C355" s="90"/>
      <c r="D355" s="90"/>
      <c r="E355" s="67"/>
      <c r="F355" s="90"/>
      <c r="G355" s="107"/>
      <c r="H355" s="108"/>
      <c r="J355" s="109"/>
      <c r="K355" s="110"/>
      <c r="L355" s="110"/>
      <c r="M355" s="110"/>
      <c r="N355" s="110"/>
      <c r="O355" s="110"/>
      <c r="R355" s="101"/>
      <c r="S355" s="101"/>
    </row>
    <row r="356">
      <c r="C356" s="90"/>
      <c r="D356" s="90"/>
      <c r="E356" s="67"/>
      <c r="F356" s="90"/>
      <c r="G356" s="107"/>
      <c r="H356" s="108"/>
      <c r="J356" s="109"/>
      <c r="K356" s="110"/>
      <c r="L356" s="110"/>
      <c r="M356" s="110"/>
      <c r="N356" s="110"/>
      <c r="O356" s="110"/>
      <c r="R356" s="101"/>
      <c r="S356" s="101"/>
    </row>
    <row r="357">
      <c r="C357" s="90"/>
      <c r="D357" s="90"/>
      <c r="E357" s="67"/>
      <c r="F357" s="90"/>
      <c r="G357" s="107"/>
      <c r="H357" s="108"/>
      <c r="J357" s="109"/>
      <c r="K357" s="110"/>
      <c r="L357" s="110"/>
      <c r="M357" s="110"/>
      <c r="N357" s="110"/>
      <c r="O357" s="110"/>
      <c r="R357" s="101"/>
      <c r="S357" s="101"/>
    </row>
    <row r="358">
      <c r="C358" s="90"/>
      <c r="D358" s="90"/>
      <c r="E358" s="67"/>
      <c r="F358" s="90"/>
      <c r="G358" s="107"/>
      <c r="H358" s="108"/>
      <c r="J358" s="109"/>
      <c r="K358" s="110"/>
      <c r="L358" s="110"/>
      <c r="M358" s="110"/>
      <c r="N358" s="110"/>
      <c r="O358" s="110"/>
      <c r="R358" s="101"/>
      <c r="S358" s="101"/>
    </row>
    <row r="359">
      <c r="C359" s="90"/>
      <c r="D359" s="90"/>
      <c r="E359" s="67"/>
      <c r="F359" s="90"/>
      <c r="G359" s="107"/>
      <c r="H359" s="108"/>
      <c r="J359" s="109"/>
      <c r="K359" s="110"/>
      <c r="L359" s="110"/>
      <c r="M359" s="110"/>
      <c r="N359" s="110"/>
      <c r="O359" s="110"/>
      <c r="R359" s="101"/>
      <c r="S359" s="101"/>
    </row>
    <row r="360">
      <c r="C360" s="90"/>
      <c r="D360" s="90"/>
      <c r="E360" s="67"/>
      <c r="F360" s="90"/>
      <c r="G360" s="107"/>
      <c r="H360" s="108"/>
      <c r="J360" s="109"/>
      <c r="K360" s="110"/>
      <c r="L360" s="110"/>
      <c r="M360" s="110"/>
      <c r="N360" s="110"/>
      <c r="O360" s="110"/>
      <c r="R360" s="101"/>
      <c r="S360" s="101"/>
    </row>
    <row r="361">
      <c r="C361" s="90"/>
      <c r="D361" s="90"/>
      <c r="E361" s="67"/>
      <c r="F361" s="90"/>
      <c r="G361" s="107"/>
      <c r="H361" s="108"/>
      <c r="J361" s="109"/>
      <c r="K361" s="110"/>
      <c r="L361" s="110"/>
      <c r="M361" s="110"/>
      <c r="N361" s="110"/>
      <c r="O361" s="110"/>
      <c r="R361" s="101"/>
      <c r="S361" s="101"/>
    </row>
    <row r="362">
      <c r="C362" s="90"/>
      <c r="D362" s="90"/>
      <c r="E362" s="67"/>
      <c r="F362" s="90"/>
      <c r="G362" s="107"/>
      <c r="H362" s="108"/>
      <c r="J362" s="109"/>
      <c r="K362" s="110"/>
      <c r="L362" s="110"/>
      <c r="M362" s="110"/>
      <c r="N362" s="110"/>
      <c r="O362" s="110"/>
      <c r="R362" s="101"/>
      <c r="S362" s="101"/>
    </row>
    <row r="363">
      <c r="C363" s="90"/>
      <c r="D363" s="90"/>
      <c r="E363" s="67"/>
      <c r="F363" s="90"/>
      <c r="G363" s="107"/>
      <c r="H363" s="108"/>
      <c r="J363" s="109"/>
      <c r="K363" s="110"/>
      <c r="L363" s="110"/>
      <c r="M363" s="110"/>
      <c r="N363" s="110"/>
      <c r="O363" s="110"/>
      <c r="R363" s="101"/>
      <c r="S363" s="101"/>
    </row>
    <row r="364">
      <c r="C364" s="90"/>
      <c r="D364" s="90"/>
      <c r="E364" s="67"/>
      <c r="F364" s="90"/>
      <c r="G364" s="107"/>
      <c r="H364" s="108"/>
      <c r="J364" s="109"/>
      <c r="K364" s="110"/>
      <c r="L364" s="110"/>
      <c r="M364" s="110"/>
      <c r="N364" s="110"/>
      <c r="O364" s="110"/>
      <c r="R364" s="101"/>
      <c r="S364" s="101"/>
    </row>
    <row r="365">
      <c r="C365" s="90"/>
      <c r="D365" s="90"/>
      <c r="E365" s="67"/>
      <c r="F365" s="90"/>
      <c r="G365" s="107"/>
      <c r="H365" s="108"/>
      <c r="J365" s="109"/>
      <c r="K365" s="110"/>
      <c r="L365" s="110"/>
      <c r="M365" s="110"/>
      <c r="N365" s="110"/>
      <c r="O365" s="110"/>
      <c r="R365" s="101"/>
      <c r="S365" s="101"/>
    </row>
    <row r="366">
      <c r="C366" s="90"/>
      <c r="D366" s="90"/>
      <c r="E366" s="67"/>
      <c r="F366" s="90"/>
      <c r="G366" s="107"/>
      <c r="H366" s="108"/>
      <c r="J366" s="109"/>
      <c r="K366" s="110"/>
      <c r="L366" s="110"/>
      <c r="M366" s="110"/>
      <c r="N366" s="110"/>
      <c r="O366" s="110"/>
      <c r="R366" s="101"/>
      <c r="S366" s="101"/>
    </row>
    <row r="367">
      <c r="C367" s="90"/>
      <c r="D367" s="90"/>
      <c r="E367" s="67"/>
      <c r="F367" s="90"/>
      <c r="G367" s="107"/>
      <c r="H367" s="108"/>
      <c r="J367" s="109"/>
      <c r="K367" s="110"/>
      <c r="L367" s="110"/>
      <c r="M367" s="110"/>
      <c r="N367" s="110"/>
      <c r="O367" s="110"/>
      <c r="R367" s="101"/>
      <c r="S367" s="101"/>
    </row>
    <row r="368">
      <c r="C368" s="90"/>
      <c r="D368" s="90"/>
      <c r="E368" s="67"/>
      <c r="F368" s="90"/>
      <c r="G368" s="107"/>
      <c r="H368" s="108"/>
      <c r="J368" s="109"/>
      <c r="K368" s="110"/>
      <c r="L368" s="110"/>
      <c r="M368" s="110"/>
      <c r="N368" s="110"/>
      <c r="O368" s="110"/>
      <c r="R368" s="101"/>
      <c r="S368" s="101"/>
    </row>
    <row r="369">
      <c r="C369" s="90"/>
      <c r="D369" s="90"/>
      <c r="E369" s="67"/>
      <c r="F369" s="90"/>
      <c r="G369" s="107"/>
      <c r="H369" s="108"/>
      <c r="J369" s="109"/>
      <c r="K369" s="110"/>
      <c r="L369" s="110"/>
      <c r="M369" s="110"/>
      <c r="N369" s="110"/>
      <c r="O369" s="110"/>
      <c r="R369" s="101"/>
      <c r="S369" s="101"/>
    </row>
    <row r="370">
      <c r="C370" s="90"/>
      <c r="D370" s="90"/>
      <c r="E370" s="67"/>
      <c r="F370" s="90"/>
      <c r="G370" s="107"/>
      <c r="H370" s="108"/>
      <c r="J370" s="109"/>
      <c r="K370" s="110"/>
      <c r="L370" s="110"/>
      <c r="M370" s="110"/>
      <c r="N370" s="110"/>
      <c r="O370" s="110"/>
      <c r="R370" s="101"/>
      <c r="S370" s="101"/>
    </row>
    <row r="371">
      <c r="C371" s="90"/>
      <c r="D371" s="90"/>
      <c r="E371" s="67"/>
      <c r="F371" s="90"/>
      <c r="G371" s="107"/>
      <c r="H371" s="108"/>
      <c r="J371" s="109"/>
      <c r="K371" s="110"/>
      <c r="L371" s="110"/>
      <c r="M371" s="110"/>
      <c r="N371" s="110"/>
      <c r="O371" s="110"/>
      <c r="R371" s="101"/>
      <c r="S371" s="101"/>
    </row>
    <row r="372">
      <c r="C372" s="90"/>
      <c r="D372" s="90"/>
      <c r="E372" s="67"/>
      <c r="F372" s="90"/>
      <c r="G372" s="107"/>
      <c r="H372" s="108"/>
      <c r="J372" s="109"/>
      <c r="K372" s="110"/>
      <c r="L372" s="110"/>
      <c r="M372" s="110"/>
      <c r="N372" s="110"/>
      <c r="O372" s="110"/>
      <c r="R372" s="101"/>
      <c r="S372" s="101"/>
    </row>
    <row r="373">
      <c r="C373" s="90"/>
      <c r="D373" s="90"/>
      <c r="E373" s="67"/>
      <c r="F373" s="90"/>
      <c r="G373" s="107"/>
      <c r="H373" s="108"/>
      <c r="J373" s="109"/>
      <c r="K373" s="110"/>
      <c r="L373" s="110"/>
      <c r="M373" s="110"/>
      <c r="N373" s="110"/>
      <c r="O373" s="110"/>
      <c r="R373" s="101"/>
      <c r="S373" s="101"/>
    </row>
    <row r="374">
      <c r="C374" s="90"/>
      <c r="D374" s="90"/>
      <c r="E374" s="67"/>
      <c r="F374" s="90"/>
      <c r="G374" s="107"/>
      <c r="H374" s="108"/>
      <c r="J374" s="109"/>
      <c r="K374" s="110"/>
      <c r="L374" s="110"/>
      <c r="M374" s="110"/>
      <c r="N374" s="110"/>
      <c r="O374" s="110"/>
      <c r="R374" s="101"/>
      <c r="S374" s="101"/>
    </row>
    <row r="375">
      <c r="C375" s="90"/>
      <c r="D375" s="90"/>
      <c r="E375" s="67"/>
      <c r="F375" s="90"/>
      <c r="G375" s="107"/>
      <c r="H375" s="108"/>
      <c r="J375" s="109"/>
      <c r="K375" s="110"/>
      <c r="L375" s="110"/>
      <c r="M375" s="110"/>
      <c r="N375" s="110"/>
      <c r="O375" s="110"/>
      <c r="R375" s="101"/>
      <c r="S375" s="101"/>
    </row>
    <row r="376">
      <c r="C376" s="90"/>
      <c r="D376" s="90"/>
      <c r="E376" s="67"/>
      <c r="F376" s="90"/>
      <c r="G376" s="107"/>
      <c r="H376" s="108"/>
      <c r="J376" s="109"/>
      <c r="K376" s="110"/>
      <c r="L376" s="110"/>
      <c r="M376" s="110"/>
      <c r="N376" s="110"/>
      <c r="O376" s="110"/>
      <c r="R376" s="101"/>
      <c r="S376" s="101"/>
    </row>
    <row r="377">
      <c r="C377" s="90"/>
      <c r="D377" s="90"/>
      <c r="E377" s="67"/>
      <c r="F377" s="90"/>
      <c r="G377" s="107"/>
      <c r="H377" s="108"/>
      <c r="J377" s="109"/>
      <c r="K377" s="110"/>
      <c r="L377" s="110"/>
      <c r="M377" s="110"/>
      <c r="N377" s="110"/>
      <c r="O377" s="110"/>
      <c r="R377" s="101"/>
      <c r="S377" s="101"/>
    </row>
    <row r="378">
      <c r="C378" s="90"/>
      <c r="D378" s="90"/>
      <c r="E378" s="67"/>
      <c r="F378" s="90"/>
      <c r="G378" s="107"/>
      <c r="H378" s="108"/>
      <c r="J378" s="109"/>
      <c r="K378" s="110"/>
      <c r="L378" s="110"/>
      <c r="M378" s="110"/>
      <c r="N378" s="110"/>
      <c r="O378" s="110"/>
      <c r="R378" s="101"/>
      <c r="S378" s="101"/>
    </row>
    <row r="379">
      <c r="C379" s="90"/>
      <c r="D379" s="90"/>
      <c r="E379" s="67"/>
      <c r="F379" s="90"/>
      <c r="G379" s="107"/>
      <c r="H379" s="108"/>
      <c r="J379" s="109"/>
      <c r="K379" s="110"/>
      <c r="L379" s="110"/>
      <c r="M379" s="110"/>
      <c r="N379" s="110"/>
      <c r="O379" s="110"/>
      <c r="R379" s="101"/>
      <c r="S379" s="101"/>
    </row>
    <row r="380">
      <c r="C380" s="90"/>
      <c r="D380" s="90"/>
      <c r="E380" s="67"/>
      <c r="F380" s="90"/>
      <c r="G380" s="107"/>
      <c r="H380" s="108"/>
      <c r="J380" s="109"/>
      <c r="K380" s="110"/>
      <c r="L380" s="110"/>
      <c r="M380" s="110"/>
      <c r="N380" s="110"/>
      <c r="O380" s="110"/>
      <c r="R380" s="101"/>
      <c r="S380" s="101"/>
    </row>
    <row r="381">
      <c r="C381" s="90"/>
      <c r="D381" s="90"/>
      <c r="E381" s="67"/>
      <c r="F381" s="90"/>
      <c r="G381" s="107"/>
      <c r="H381" s="108"/>
      <c r="J381" s="109"/>
      <c r="K381" s="110"/>
      <c r="L381" s="110"/>
      <c r="M381" s="110"/>
      <c r="N381" s="110"/>
      <c r="O381" s="110"/>
      <c r="R381" s="101"/>
      <c r="S381" s="101"/>
    </row>
    <row r="382">
      <c r="C382" s="90"/>
      <c r="D382" s="90"/>
      <c r="E382" s="67"/>
      <c r="F382" s="90"/>
      <c r="G382" s="107"/>
      <c r="H382" s="108"/>
      <c r="J382" s="109"/>
      <c r="K382" s="110"/>
      <c r="L382" s="110"/>
      <c r="M382" s="110"/>
      <c r="N382" s="110"/>
      <c r="O382" s="110"/>
      <c r="R382" s="101"/>
      <c r="S382" s="101"/>
    </row>
    <row r="383">
      <c r="C383" s="90"/>
      <c r="D383" s="90"/>
      <c r="E383" s="67"/>
      <c r="F383" s="90"/>
      <c r="G383" s="107"/>
      <c r="H383" s="108"/>
      <c r="J383" s="109"/>
      <c r="K383" s="110"/>
      <c r="L383" s="110"/>
      <c r="M383" s="110"/>
      <c r="N383" s="110"/>
      <c r="O383" s="110"/>
      <c r="R383" s="101"/>
      <c r="S383" s="101"/>
    </row>
    <row r="384">
      <c r="C384" s="90"/>
      <c r="D384" s="90"/>
      <c r="E384" s="67"/>
      <c r="F384" s="90"/>
      <c r="G384" s="107"/>
      <c r="H384" s="108"/>
      <c r="J384" s="109"/>
      <c r="K384" s="110"/>
      <c r="L384" s="110"/>
      <c r="M384" s="110"/>
      <c r="N384" s="110"/>
      <c r="O384" s="110"/>
      <c r="R384" s="101"/>
      <c r="S384" s="101"/>
    </row>
    <row r="385">
      <c r="C385" s="90"/>
      <c r="D385" s="90"/>
      <c r="E385" s="67"/>
      <c r="F385" s="90"/>
      <c r="G385" s="107"/>
      <c r="H385" s="108"/>
      <c r="J385" s="109"/>
      <c r="K385" s="110"/>
      <c r="L385" s="110"/>
      <c r="M385" s="110"/>
      <c r="N385" s="110"/>
      <c r="O385" s="110"/>
      <c r="R385" s="101"/>
      <c r="S385" s="101"/>
    </row>
    <row r="386">
      <c r="C386" s="90"/>
      <c r="D386" s="90"/>
      <c r="E386" s="67"/>
      <c r="F386" s="90"/>
      <c r="G386" s="107"/>
      <c r="H386" s="108"/>
      <c r="J386" s="109"/>
      <c r="K386" s="110"/>
      <c r="L386" s="110"/>
      <c r="M386" s="110"/>
      <c r="N386" s="110"/>
      <c r="O386" s="110"/>
      <c r="R386" s="101"/>
      <c r="S386" s="101"/>
    </row>
    <row r="387">
      <c r="C387" s="90"/>
      <c r="D387" s="90"/>
      <c r="E387" s="67"/>
      <c r="F387" s="90"/>
      <c r="G387" s="107"/>
      <c r="H387" s="108"/>
      <c r="J387" s="109"/>
      <c r="K387" s="110"/>
      <c r="L387" s="110"/>
      <c r="M387" s="110"/>
      <c r="N387" s="110"/>
      <c r="O387" s="110"/>
      <c r="R387" s="101"/>
      <c r="S387" s="101"/>
    </row>
    <row r="388">
      <c r="C388" s="90"/>
      <c r="D388" s="90"/>
      <c r="E388" s="67"/>
      <c r="F388" s="90"/>
      <c r="G388" s="107"/>
      <c r="H388" s="108"/>
      <c r="J388" s="109"/>
      <c r="K388" s="110"/>
      <c r="L388" s="110"/>
      <c r="M388" s="110"/>
      <c r="N388" s="110"/>
      <c r="O388" s="110"/>
      <c r="R388" s="101"/>
      <c r="S388" s="101"/>
    </row>
    <row r="389">
      <c r="C389" s="90"/>
      <c r="D389" s="90"/>
      <c r="E389" s="67"/>
      <c r="F389" s="90"/>
      <c r="G389" s="107"/>
      <c r="H389" s="108"/>
      <c r="J389" s="109"/>
      <c r="K389" s="110"/>
      <c r="L389" s="110"/>
      <c r="M389" s="110"/>
      <c r="N389" s="110"/>
      <c r="O389" s="110"/>
      <c r="R389" s="101"/>
      <c r="S389" s="101"/>
    </row>
    <row r="390">
      <c r="C390" s="90"/>
      <c r="D390" s="90"/>
      <c r="E390" s="67"/>
      <c r="F390" s="90"/>
      <c r="G390" s="107"/>
      <c r="H390" s="108"/>
      <c r="J390" s="109"/>
      <c r="K390" s="110"/>
      <c r="L390" s="110"/>
      <c r="M390" s="110"/>
      <c r="N390" s="110"/>
      <c r="O390" s="110"/>
      <c r="R390" s="101"/>
      <c r="S390" s="101"/>
    </row>
    <row r="391">
      <c r="C391" s="90"/>
      <c r="D391" s="90"/>
      <c r="E391" s="67"/>
      <c r="F391" s="90"/>
      <c r="G391" s="107"/>
      <c r="H391" s="108"/>
      <c r="J391" s="109"/>
      <c r="K391" s="110"/>
      <c r="L391" s="110"/>
      <c r="M391" s="110"/>
      <c r="N391" s="110"/>
      <c r="O391" s="110"/>
      <c r="R391" s="101"/>
      <c r="S391" s="101"/>
    </row>
    <row r="392">
      <c r="C392" s="90"/>
      <c r="D392" s="90"/>
      <c r="E392" s="67"/>
      <c r="F392" s="90"/>
      <c r="G392" s="107"/>
      <c r="H392" s="108"/>
      <c r="J392" s="109"/>
      <c r="K392" s="110"/>
      <c r="L392" s="110"/>
      <c r="M392" s="110"/>
      <c r="N392" s="110"/>
      <c r="O392" s="110"/>
      <c r="R392" s="101"/>
      <c r="S392" s="101"/>
    </row>
    <row r="393">
      <c r="C393" s="90"/>
      <c r="D393" s="90"/>
      <c r="E393" s="67"/>
      <c r="F393" s="90"/>
      <c r="G393" s="107"/>
      <c r="H393" s="108"/>
      <c r="J393" s="109"/>
      <c r="K393" s="110"/>
      <c r="L393" s="110"/>
      <c r="M393" s="110"/>
      <c r="N393" s="110"/>
      <c r="O393" s="110"/>
      <c r="R393" s="101"/>
      <c r="S393" s="101"/>
    </row>
    <row r="394">
      <c r="C394" s="90"/>
      <c r="D394" s="90"/>
      <c r="E394" s="67"/>
      <c r="F394" s="90"/>
      <c r="G394" s="107"/>
      <c r="H394" s="108"/>
      <c r="J394" s="109"/>
      <c r="K394" s="110"/>
      <c r="L394" s="110"/>
      <c r="M394" s="110"/>
      <c r="N394" s="110"/>
      <c r="O394" s="110"/>
      <c r="R394" s="101"/>
      <c r="S394" s="101"/>
    </row>
    <row r="395">
      <c r="C395" s="90"/>
      <c r="D395" s="90"/>
      <c r="E395" s="67"/>
      <c r="F395" s="90"/>
      <c r="G395" s="107"/>
      <c r="H395" s="108"/>
      <c r="J395" s="109"/>
      <c r="K395" s="110"/>
      <c r="L395" s="110"/>
      <c r="M395" s="110"/>
      <c r="N395" s="110"/>
      <c r="O395" s="110"/>
      <c r="R395" s="101"/>
      <c r="S395" s="101"/>
    </row>
    <row r="396">
      <c r="C396" s="90"/>
      <c r="D396" s="90"/>
      <c r="E396" s="67"/>
      <c r="F396" s="90"/>
      <c r="G396" s="107"/>
      <c r="H396" s="108"/>
      <c r="J396" s="109"/>
      <c r="K396" s="110"/>
      <c r="L396" s="110"/>
      <c r="M396" s="110"/>
      <c r="N396" s="110"/>
      <c r="O396" s="110"/>
      <c r="R396" s="101"/>
      <c r="S396" s="101"/>
    </row>
    <row r="397">
      <c r="C397" s="90"/>
      <c r="D397" s="90"/>
      <c r="E397" s="67"/>
      <c r="F397" s="90"/>
      <c r="G397" s="107"/>
      <c r="H397" s="108"/>
      <c r="J397" s="109"/>
      <c r="K397" s="110"/>
      <c r="L397" s="110"/>
      <c r="M397" s="110"/>
      <c r="N397" s="110"/>
      <c r="O397" s="110"/>
      <c r="R397" s="101"/>
      <c r="S397" s="101"/>
    </row>
    <row r="398">
      <c r="C398" s="90"/>
      <c r="D398" s="90"/>
      <c r="E398" s="67"/>
      <c r="F398" s="90"/>
      <c r="G398" s="107"/>
      <c r="H398" s="108"/>
      <c r="J398" s="109"/>
      <c r="K398" s="110"/>
      <c r="L398" s="110"/>
      <c r="M398" s="110"/>
      <c r="N398" s="110"/>
      <c r="O398" s="110"/>
      <c r="R398" s="101"/>
      <c r="S398" s="101"/>
    </row>
    <row r="399">
      <c r="C399" s="90"/>
      <c r="D399" s="90"/>
      <c r="E399" s="67"/>
      <c r="F399" s="90"/>
      <c r="G399" s="107"/>
      <c r="H399" s="108"/>
      <c r="J399" s="109"/>
      <c r="K399" s="110"/>
      <c r="L399" s="110"/>
      <c r="M399" s="110"/>
      <c r="N399" s="110"/>
      <c r="O399" s="110"/>
      <c r="R399" s="101"/>
      <c r="S399" s="101"/>
    </row>
    <row r="400">
      <c r="C400" s="90"/>
      <c r="D400" s="90"/>
      <c r="E400" s="67"/>
      <c r="F400" s="90"/>
      <c r="G400" s="107"/>
      <c r="H400" s="108"/>
      <c r="J400" s="109"/>
      <c r="K400" s="110"/>
      <c r="L400" s="110"/>
      <c r="M400" s="110"/>
      <c r="N400" s="110"/>
      <c r="O400" s="110"/>
      <c r="R400" s="101"/>
      <c r="S400" s="101"/>
    </row>
    <row r="401">
      <c r="C401" s="90"/>
      <c r="D401" s="90"/>
      <c r="E401" s="67"/>
      <c r="F401" s="90"/>
      <c r="G401" s="107"/>
      <c r="H401" s="108"/>
      <c r="J401" s="109"/>
      <c r="K401" s="110"/>
      <c r="L401" s="110"/>
      <c r="M401" s="110"/>
      <c r="N401" s="110"/>
      <c r="O401" s="110"/>
      <c r="R401" s="101"/>
      <c r="S401" s="101"/>
    </row>
    <row r="402">
      <c r="C402" s="90"/>
      <c r="D402" s="90"/>
      <c r="E402" s="67"/>
      <c r="F402" s="90"/>
      <c r="G402" s="107"/>
      <c r="H402" s="108"/>
      <c r="J402" s="109"/>
      <c r="K402" s="110"/>
      <c r="L402" s="110"/>
      <c r="M402" s="110"/>
      <c r="N402" s="110"/>
      <c r="O402" s="110"/>
      <c r="R402" s="101"/>
      <c r="S402" s="101"/>
    </row>
    <row r="403">
      <c r="C403" s="90"/>
      <c r="D403" s="90"/>
      <c r="E403" s="67"/>
      <c r="F403" s="90"/>
      <c r="G403" s="107"/>
      <c r="H403" s="108"/>
      <c r="J403" s="109"/>
      <c r="K403" s="110"/>
      <c r="L403" s="110"/>
      <c r="M403" s="110"/>
      <c r="N403" s="110"/>
      <c r="O403" s="110"/>
      <c r="R403" s="101"/>
      <c r="S403" s="101"/>
    </row>
    <row r="404">
      <c r="C404" s="90"/>
      <c r="D404" s="90"/>
      <c r="E404" s="67"/>
      <c r="F404" s="90"/>
      <c r="G404" s="107"/>
      <c r="H404" s="108"/>
      <c r="J404" s="109"/>
      <c r="K404" s="110"/>
      <c r="L404" s="110"/>
      <c r="M404" s="110"/>
      <c r="N404" s="110"/>
      <c r="O404" s="110"/>
      <c r="R404" s="101"/>
      <c r="S404" s="101"/>
    </row>
    <row r="405">
      <c r="C405" s="90"/>
      <c r="D405" s="90"/>
      <c r="E405" s="67"/>
      <c r="F405" s="90"/>
      <c r="G405" s="107"/>
      <c r="H405" s="108"/>
      <c r="J405" s="109"/>
      <c r="K405" s="110"/>
      <c r="L405" s="110"/>
      <c r="M405" s="110"/>
      <c r="N405" s="110"/>
      <c r="O405" s="110"/>
      <c r="R405" s="101"/>
      <c r="S405" s="101"/>
    </row>
    <row r="406">
      <c r="C406" s="90"/>
      <c r="D406" s="90"/>
      <c r="E406" s="67"/>
      <c r="F406" s="90"/>
      <c r="G406" s="107"/>
      <c r="H406" s="108"/>
      <c r="J406" s="109"/>
      <c r="K406" s="110"/>
      <c r="L406" s="110"/>
      <c r="M406" s="110"/>
      <c r="N406" s="110"/>
      <c r="O406" s="110"/>
      <c r="R406" s="101"/>
      <c r="S406" s="101"/>
    </row>
    <row r="407">
      <c r="C407" s="90"/>
      <c r="D407" s="90"/>
      <c r="E407" s="67"/>
      <c r="F407" s="90"/>
      <c r="G407" s="107"/>
      <c r="H407" s="108"/>
      <c r="J407" s="109"/>
      <c r="K407" s="110"/>
      <c r="L407" s="110"/>
      <c r="M407" s="110"/>
      <c r="N407" s="110"/>
      <c r="O407" s="110"/>
      <c r="R407" s="101"/>
      <c r="S407" s="101"/>
    </row>
    <row r="408">
      <c r="C408" s="90"/>
      <c r="D408" s="90"/>
      <c r="E408" s="67"/>
      <c r="F408" s="90"/>
      <c r="G408" s="107"/>
      <c r="H408" s="108"/>
      <c r="J408" s="109"/>
      <c r="K408" s="110"/>
      <c r="L408" s="110"/>
      <c r="M408" s="110"/>
      <c r="N408" s="110"/>
      <c r="O408" s="110"/>
      <c r="R408" s="101"/>
      <c r="S408" s="101"/>
    </row>
    <row r="409">
      <c r="C409" s="90"/>
      <c r="D409" s="90"/>
      <c r="E409" s="67"/>
      <c r="F409" s="90"/>
      <c r="G409" s="107"/>
      <c r="H409" s="108"/>
      <c r="J409" s="109"/>
      <c r="K409" s="110"/>
      <c r="L409" s="110"/>
      <c r="M409" s="110"/>
      <c r="N409" s="110"/>
      <c r="O409" s="110"/>
      <c r="R409" s="101"/>
      <c r="S409" s="101"/>
    </row>
    <row r="410">
      <c r="C410" s="90"/>
      <c r="D410" s="90"/>
      <c r="E410" s="67"/>
      <c r="F410" s="90"/>
      <c r="G410" s="107"/>
      <c r="H410" s="108"/>
      <c r="J410" s="109"/>
      <c r="K410" s="110"/>
      <c r="L410" s="110"/>
      <c r="M410" s="110"/>
      <c r="N410" s="110"/>
      <c r="O410" s="110"/>
      <c r="R410" s="101"/>
      <c r="S410" s="101"/>
    </row>
    <row r="411">
      <c r="C411" s="90"/>
      <c r="D411" s="90"/>
      <c r="E411" s="67"/>
      <c r="F411" s="90"/>
      <c r="G411" s="107"/>
      <c r="H411" s="108"/>
      <c r="J411" s="109"/>
      <c r="K411" s="110"/>
      <c r="L411" s="110"/>
      <c r="M411" s="110"/>
      <c r="N411" s="110"/>
      <c r="O411" s="110"/>
      <c r="R411" s="101"/>
      <c r="S411" s="101"/>
    </row>
    <row r="412">
      <c r="C412" s="90"/>
      <c r="D412" s="90"/>
      <c r="E412" s="67"/>
      <c r="F412" s="90"/>
      <c r="G412" s="107"/>
      <c r="H412" s="108"/>
      <c r="J412" s="109"/>
      <c r="K412" s="110"/>
      <c r="L412" s="110"/>
      <c r="M412" s="110"/>
      <c r="N412" s="110"/>
      <c r="O412" s="110"/>
      <c r="R412" s="101"/>
      <c r="S412" s="101"/>
    </row>
    <row r="413">
      <c r="C413" s="90"/>
      <c r="D413" s="90"/>
      <c r="E413" s="67"/>
      <c r="F413" s="90"/>
      <c r="G413" s="107"/>
      <c r="H413" s="108"/>
      <c r="J413" s="109"/>
      <c r="K413" s="110"/>
      <c r="L413" s="110"/>
      <c r="M413" s="110"/>
      <c r="N413" s="110"/>
      <c r="O413" s="110"/>
      <c r="R413" s="101"/>
      <c r="S413" s="101"/>
    </row>
    <row r="414">
      <c r="C414" s="90"/>
      <c r="D414" s="90"/>
      <c r="E414" s="67"/>
      <c r="F414" s="90"/>
      <c r="G414" s="107"/>
      <c r="H414" s="108"/>
      <c r="J414" s="109"/>
      <c r="K414" s="110"/>
      <c r="L414" s="110"/>
      <c r="M414" s="110"/>
      <c r="N414" s="110"/>
      <c r="O414" s="110"/>
      <c r="R414" s="101"/>
      <c r="S414" s="101"/>
    </row>
    <row r="415">
      <c r="C415" s="90"/>
      <c r="D415" s="90"/>
      <c r="E415" s="67"/>
      <c r="F415" s="90"/>
      <c r="G415" s="107"/>
      <c r="H415" s="108"/>
      <c r="J415" s="109"/>
      <c r="K415" s="110"/>
      <c r="L415" s="110"/>
      <c r="M415" s="110"/>
      <c r="N415" s="110"/>
      <c r="O415" s="110"/>
      <c r="R415" s="101"/>
      <c r="S415" s="101"/>
    </row>
    <row r="416">
      <c r="C416" s="90"/>
      <c r="D416" s="90"/>
      <c r="E416" s="67"/>
      <c r="F416" s="90"/>
      <c r="G416" s="107"/>
      <c r="H416" s="108"/>
      <c r="J416" s="109"/>
      <c r="K416" s="110"/>
      <c r="L416" s="110"/>
      <c r="M416" s="110"/>
      <c r="N416" s="110"/>
      <c r="O416" s="110"/>
      <c r="R416" s="101"/>
      <c r="S416" s="101"/>
    </row>
    <row r="417">
      <c r="C417" s="90"/>
      <c r="D417" s="90"/>
      <c r="E417" s="67"/>
      <c r="F417" s="90"/>
      <c r="G417" s="107"/>
      <c r="H417" s="108"/>
      <c r="J417" s="109"/>
      <c r="K417" s="110"/>
      <c r="L417" s="110"/>
      <c r="M417" s="110"/>
      <c r="N417" s="110"/>
      <c r="O417" s="110"/>
      <c r="R417" s="101"/>
      <c r="S417" s="101"/>
    </row>
    <row r="418">
      <c r="C418" s="90"/>
      <c r="D418" s="90"/>
      <c r="E418" s="67"/>
      <c r="F418" s="90"/>
      <c r="G418" s="107"/>
      <c r="H418" s="108"/>
      <c r="J418" s="109"/>
      <c r="K418" s="110"/>
      <c r="L418" s="110"/>
      <c r="M418" s="110"/>
      <c r="N418" s="110"/>
      <c r="O418" s="110"/>
      <c r="R418" s="101"/>
      <c r="S418" s="101"/>
    </row>
    <row r="419">
      <c r="C419" s="90"/>
      <c r="D419" s="90"/>
      <c r="E419" s="67"/>
      <c r="F419" s="90"/>
      <c r="G419" s="107"/>
      <c r="H419" s="108"/>
      <c r="J419" s="109"/>
      <c r="K419" s="110"/>
      <c r="L419" s="110"/>
      <c r="M419" s="110"/>
      <c r="N419" s="110"/>
      <c r="O419" s="110"/>
      <c r="R419" s="101"/>
      <c r="S419" s="101"/>
    </row>
    <row r="420">
      <c r="C420" s="90"/>
      <c r="D420" s="90"/>
      <c r="E420" s="67"/>
      <c r="F420" s="90"/>
      <c r="G420" s="107"/>
      <c r="H420" s="108"/>
      <c r="J420" s="109"/>
      <c r="K420" s="110"/>
      <c r="L420" s="110"/>
      <c r="M420" s="110"/>
      <c r="N420" s="110"/>
      <c r="O420" s="110"/>
      <c r="R420" s="101"/>
      <c r="S420" s="101"/>
    </row>
    <row r="421">
      <c r="C421" s="90"/>
      <c r="D421" s="90"/>
      <c r="E421" s="67"/>
      <c r="F421" s="90"/>
      <c r="G421" s="107"/>
      <c r="H421" s="108"/>
      <c r="J421" s="109"/>
      <c r="K421" s="110"/>
      <c r="L421" s="110"/>
      <c r="M421" s="110"/>
      <c r="N421" s="110"/>
      <c r="O421" s="110"/>
      <c r="R421" s="101"/>
      <c r="S421" s="101"/>
    </row>
    <row r="422">
      <c r="C422" s="90"/>
      <c r="D422" s="90"/>
      <c r="E422" s="67"/>
      <c r="F422" s="90"/>
      <c r="G422" s="107"/>
      <c r="H422" s="108"/>
      <c r="J422" s="109"/>
      <c r="K422" s="110"/>
      <c r="L422" s="110"/>
      <c r="M422" s="110"/>
      <c r="N422" s="110"/>
      <c r="O422" s="110"/>
      <c r="R422" s="101"/>
      <c r="S422" s="101"/>
    </row>
    <row r="423">
      <c r="C423" s="90"/>
      <c r="D423" s="90"/>
      <c r="E423" s="67"/>
      <c r="F423" s="90"/>
      <c r="G423" s="107"/>
      <c r="H423" s="108"/>
      <c r="J423" s="109"/>
      <c r="K423" s="110"/>
      <c r="L423" s="110"/>
      <c r="M423" s="110"/>
      <c r="N423" s="110"/>
      <c r="O423" s="110"/>
      <c r="R423" s="101"/>
      <c r="S423" s="101"/>
    </row>
    <row r="424">
      <c r="C424" s="90"/>
      <c r="D424" s="90"/>
      <c r="E424" s="67"/>
      <c r="F424" s="90"/>
      <c r="G424" s="107"/>
      <c r="H424" s="108"/>
      <c r="J424" s="109"/>
      <c r="K424" s="110"/>
      <c r="L424" s="110"/>
      <c r="M424" s="110"/>
      <c r="N424" s="110"/>
      <c r="O424" s="110"/>
      <c r="R424" s="101"/>
      <c r="S424" s="101"/>
    </row>
    <row r="425">
      <c r="C425" s="90"/>
      <c r="D425" s="90"/>
      <c r="E425" s="67"/>
      <c r="F425" s="90"/>
      <c r="G425" s="107"/>
      <c r="H425" s="108"/>
      <c r="J425" s="109"/>
      <c r="K425" s="110"/>
      <c r="L425" s="110"/>
      <c r="M425" s="110"/>
      <c r="N425" s="110"/>
      <c r="O425" s="110"/>
      <c r="R425" s="101"/>
      <c r="S425" s="101"/>
    </row>
    <row r="426">
      <c r="C426" s="90"/>
      <c r="D426" s="90"/>
      <c r="E426" s="67"/>
      <c r="F426" s="90"/>
      <c r="G426" s="107"/>
      <c r="H426" s="108"/>
      <c r="J426" s="109"/>
      <c r="K426" s="110"/>
      <c r="L426" s="110"/>
      <c r="M426" s="110"/>
      <c r="N426" s="110"/>
      <c r="O426" s="110"/>
      <c r="R426" s="101"/>
      <c r="S426" s="101"/>
    </row>
    <row r="427">
      <c r="C427" s="90"/>
      <c r="D427" s="90"/>
      <c r="E427" s="67"/>
      <c r="F427" s="90"/>
      <c r="G427" s="107"/>
      <c r="H427" s="108"/>
      <c r="J427" s="109"/>
      <c r="K427" s="110"/>
      <c r="L427" s="110"/>
      <c r="M427" s="110"/>
      <c r="N427" s="110"/>
      <c r="O427" s="110"/>
      <c r="R427" s="101"/>
      <c r="S427" s="101"/>
    </row>
    <row r="428">
      <c r="C428" s="90"/>
      <c r="D428" s="90"/>
      <c r="E428" s="67"/>
      <c r="F428" s="90"/>
      <c r="G428" s="107"/>
      <c r="H428" s="108"/>
      <c r="J428" s="109"/>
      <c r="K428" s="110"/>
      <c r="L428" s="110"/>
      <c r="M428" s="110"/>
      <c r="N428" s="110"/>
      <c r="O428" s="110"/>
      <c r="R428" s="101"/>
      <c r="S428" s="101"/>
    </row>
    <row r="429">
      <c r="C429" s="90"/>
      <c r="D429" s="90"/>
      <c r="E429" s="67"/>
      <c r="F429" s="90"/>
      <c r="G429" s="107"/>
      <c r="H429" s="108"/>
      <c r="J429" s="109"/>
      <c r="K429" s="110"/>
      <c r="L429" s="110"/>
      <c r="M429" s="110"/>
      <c r="N429" s="110"/>
      <c r="O429" s="110"/>
      <c r="R429" s="101"/>
      <c r="S429" s="101"/>
    </row>
    <row r="430">
      <c r="C430" s="90"/>
      <c r="D430" s="90"/>
      <c r="E430" s="67"/>
      <c r="F430" s="90"/>
      <c r="G430" s="107"/>
      <c r="H430" s="108"/>
      <c r="J430" s="109"/>
      <c r="K430" s="110"/>
      <c r="L430" s="110"/>
      <c r="M430" s="110"/>
      <c r="N430" s="110"/>
      <c r="O430" s="110"/>
      <c r="R430" s="101"/>
      <c r="S430" s="101"/>
    </row>
    <row r="431">
      <c r="C431" s="90"/>
      <c r="D431" s="90"/>
      <c r="E431" s="67"/>
      <c r="F431" s="90"/>
      <c r="G431" s="107"/>
      <c r="H431" s="108"/>
      <c r="J431" s="109"/>
      <c r="K431" s="110"/>
      <c r="L431" s="110"/>
      <c r="M431" s="110"/>
      <c r="N431" s="110"/>
      <c r="O431" s="110"/>
      <c r="R431" s="101"/>
      <c r="S431" s="101"/>
    </row>
    <row r="432">
      <c r="C432" s="90"/>
      <c r="D432" s="90"/>
      <c r="E432" s="67"/>
      <c r="F432" s="90"/>
      <c r="G432" s="107"/>
      <c r="H432" s="108"/>
      <c r="J432" s="109"/>
      <c r="K432" s="110"/>
      <c r="L432" s="110"/>
      <c r="M432" s="110"/>
      <c r="N432" s="110"/>
      <c r="O432" s="110"/>
      <c r="R432" s="101"/>
      <c r="S432" s="101"/>
    </row>
    <row r="433">
      <c r="C433" s="90"/>
      <c r="D433" s="90"/>
      <c r="E433" s="67"/>
      <c r="F433" s="90"/>
      <c r="G433" s="107"/>
      <c r="H433" s="108"/>
      <c r="J433" s="109"/>
      <c r="K433" s="110"/>
      <c r="L433" s="110"/>
      <c r="M433" s="110"/>
      <c r="N433" s="110"/>
      <c r="O433" s="110"/>
      <c r="R433" s="101"/>
      <c r="S433" s="101"/>
    </row>
    <row r="434">
      <c r="C434" s="90"/>
      <c r="D434" s="90"/>
      <c r="E434" s="67"/>
      <c r="F434" s="90"/>
      <c r="G434" s="107"/>
      <c r="H434" s="108"/>
      <c r="J434" s="109"/>
      <c r="K434" s="110"/>
      <c r="L434" s="110"/>
      <c r="M434" s="110"/>
      <c r="N434" s="110"/>
      <c r="O434" s="110"/>
      <c r="R434" s="101"/>
      <c r="S434" s="101"/>
    </row>
    <row r="435">
      <c r="C435" s="90"/>
      <c r="D435" s="90"/>
      <c r="E435" s="67"/>
      <c r="F435" s="90"/>
      <c r="G435" s="107"/>
      <c r="H435" s="108"/>
      <c r="J435" s="109"/>
      <c r="K435" s="110"/>
      <c r="L435" s="110"/>
      <c r="M435" s="110"/>
      <c r="N435" s="110"/>
      <c r="O435" s="110"/>
      <c r="R435" s="101"/>
      <c r="S435" s="101"/>
    </row>
    <row r="436">
      <c r="C436" s="90"/>
      <c r="D436" s="90"/>
      <c r="E436" s="67"/>
      <c r="F436" s="90"/>
      <c r="G436" s="107"/>
      <c r="H436" s="108"/>
      <c r="J436" s="109"/>
      <c r="K436" s="110"/>
      <c r="L436" s="110"/>
      <c r="M436" s="110"/>
      <c r="N436" s="110"/>
      <c r="O436" s="110"/>
      <c r="R436" s="101"/>
      <c r="S436" s="101"/>
    </row>
    <row r="437">
      <c r="C437" s="90"/>
      <c r="D437" s="90"/>
      <c r="E437" s="67"/>
      <c r="F437" s="90"/>
      <c r="G437" s="107"/>
      <c r="H437" s="108"/>
      <c r="J437" s="109"/>
      <c r="K437" s="110"/>
      <c r="L437" s="110"/>
      <c r="M437" s="110"/>
      <c r="N437" s="110"/>
      <c r="O437" s="110"/>
      <c r="R437" s="101"/>
      <c r="S437" s="101"/>
    </row>
    <row r="438">
      <c r="C438" s="90"/>
      <c r="D438" s="90"/>
      <c r="E438" s="67"/>
      <c r="F438" s="90"/>
      <c r="G438" s="107"/>
      <c r="H438" s="108"/>
      <c r="J438" s="109"/>
      <c r="K438" s="110"/>
      <c r="L438" s="110"/>
      <c r="M438" s="110"/>
      <c r="N438" s="110"/>
      <c r="O438" s="110"/>
      <c r="R438" s="101"/>
      <c r="S438" s="101"/>
    </row>
    <row r="439">
      <c r="C439" s="90"/>
      <c r="D439" s="90"/>
      <c r="E439" s="67"/>
      <c r="F439" s="90"/>
      <c r="G439" s="107"/>
      <c r="H439" s="108"/>
      <c r="J439" s="109"/>
      <c r="K439" s="110"/>
      <c r="L439" s="110"/>
      <c r="M439" s="110"/>
      <c r="N439" s="110"/>
      <c r="O439" s="110"/>
      <c r="R439" s="101"/>
      <c r="S439" s="101"/>
    </row>
    <row r="440">
      <c r="C440" s="90"/>
      <c r="D440" s="90"/>
      <c r="E440" s="67"/>
      <c r="F440" s="90"/>
      <c r="G440" s="107"/>
      <c r="H440" s="108"/>
      <c r="J440" s="109"/>
      <c r="K440" s="110"/>
      <c r="L440" s="110"/>
      <c r="M440" s="110"/>
      <c r="N440" s="110"/>
      <c r="O440" s="110"/>
      <c r="R440" s="101"/>
      <c r="S440" s="101"/>
    </row>
    <row r="441">
      <c r="C441" s="90"/>
      <c r="D441" s="90"/>
      <c r="E441" s="67"/>
      <c r="F441" s="90"/>
      <c r="G441" s="107"/>
      <c r="H441" s="108"/>
      <c r="J441" s="109"/>
      <c r="K441" s="110"/>
      <c r="L441" s="110"/>
      <c r="M441" s="110"/>
      <c r="N441" s="110"/>
      <c r="O441" s="110"/>
      <c r="R441" s="101"/>
      <c r="S441" s="101"/>
    </row>
    <row r="442">
      <c r="C442" s="90"/>
      <c r="D442" s="90"/>
      <c r="E442" s="67"/>
      <c r="F442" s="90"/>
      <c r="G442" s="107"/>
      <c r="H442" s="108"/>
      <c r="J442" s="109"/>
      <c r="K442" s="110"/>
      <c r="L442" s="110"/>
      <c r="M442" s="110"/>
      <c r="N442" s="110"/>
      <c r="O442" s="110"/>
      <c r="R442" s="101"/>
      <c r="S442" s="101"/>
    </row>
    <row r="443">
      <c r="C443" s="90"/>
      <c r="D443" s="90"/>
      <c r="E443" s="67"/>
      <c r="F443" s="90"/>
      <c r="G443" s="107"/>
      <c r="H443" s="108"/>
      <c r="J443" s="109"/>
      <c r="K443" s="110"/>
      <c r="L443" s="110"/>
      <c r="M443" s="110"/>
      <c r="N443" s="110"/>
      <c r="O443" s="110"/>
      <c r="R443" s="101"/>
      <c r="S443" s="101"/>
    </row>
    <row r="444">
      <c r="C444" s="90"/>
      <c r="D444" s="90"/>
      <c r="E444" s="67"/>
      <c r="F444" s="90"/>
      <c r="G444" s="107"/>
      <c r="H444" s="108"/>
      <c r="J444" s="109"/>
      <c r="K444" s="110"/>
      <c r="L444" s="110"/>
      <c r="M444" s="110"/>
      <c r="N444" s="110"/>
      <c r="O444" s="110"/>
      <c r="R444" s="101"/>
      <c r="S444" s="101"/>
    </row>
    <row r="445">
      <c r="C445" s="90"/>
      <c r="D445" s="90"/>
      <c r="E445" s="67"/>
      <c r="F445" s="90"/>
      <c r="G445" s="107"/>
      <c r="H445" s="108"/>
      <c r="J445" s="109"/>
      <c r="K445" s="110"/>
      <c r="L445" s="110"/>
      <c r="M445" s="110"/>
      <c r="N445" s="110"/>
      <c r="O445" s="110"/>
      <c r="R445" s="101"/>
      <c r="S445" s="101"/>
    </row>
    <row r="446">
      <c r="C446" s="90"/>
      <c r="D446" s="90"/>
      <c r="E446" s="67"/>
      <c r="F446" s="90"/>
      <c r="G446" s="107"/>
      <c r="H446" s="108"/>
      <c r="J446" s="109"/>
      <c r="K446" s="110"/>
      <c r="L446" s="110"/>
      <c r="M446" s="110"/>
      <c r="N446" s="110"/>
      <c r="O446" s="110"/>
      <c r="R446" s="101"/>
      <c r="S446" s="101"/>
    </row>
    <row r="447">
      <c r="C447" s="90"/>
      <c r="D447" s="90"/>
      <c r="E447" s="67"/>
      <c r="F447" s="90"/>
      <c r="G447" s="107"/>
      <c r="H447" s="108"/>
      <c r="J447" s="109"/>
      <c r="K447" s="110"/>
      <c r="L447" s="110"/>
      <c r="M447" s="110"/>
      <c r="N447" s="110"/>
      <c r="O447" s="110"/>
      <c r="R447" s="101"/>
      <c r="S447" s="101"/>
    </row>
    <row r="448">
      <c r="C448" s="90"/>
      <c r="D448" s="90"/>
      <c r="E448" s="67"/>
      <c r="F448" s="90"/>
      <c r="G448" s="107"/>
      <c r="H448" s="108"/>
      <c r="J448" s="109"/>
      <c r="K448" s="110"/>
      <c r="L448" s="110"/>
      <c r="M448" s="110"/>
      <c r="N448" s="110"/>
      <c r="O448" s="110"/>
      <c r="R448" s="101"/>
      <c r="S448" s="101"/>
    </row>
    <row r="449">
      <c r="C449" s="90"/>
      <c r="D449" s="90"/>
      <c r="E449" s="67"/>
      <c r="F449" s="90"/>
      <c r="G449" s="107"/>
      <c r="H449" s="108"/>
      <c r="J449" s="109"/>
      <c r="K449" s="110"/>
      <c r="L449" s="110"/>
      <c r="M449" s="110"/>
      <c r="N449" s="110"/>
      <c r="O449" s="110"/>
      <c r="R449" s="101"/>
      <c r="S449" s="101"/>
    </row>
    <row r="450">
      <c r="C450" s="90"/>
      <c r="D450" s="90"/>
      <c r="E450" s="67"/>
      <c r="F450" s="90"/>
      <c r="G450" s="107"/>
      <c r="H450" s="108"/>
      <c r="J450" s="109"/>
      <c r="K450" s="110"/>
      <c r="L450" s="110"/>
      <c r="M450" s="110"/>
      <c r="N450" s="110"/>
      <c r="O450" s="110"/>
      <c r="R450" s="101"/>
      <c r="S450" s="101"/>
    </row>
    <row r="451">
      <c r="C451" s="90"/>
      <c r="D451" s="90"/>
      <c r="E451" s="67"/>
      <c r="F451" s="90"/>
      <c r="G451" s="107"/>
      <c r="H451" s="108"/>
      <c r="J451" s="109"/>
      <c r="K451" s="110"/>
      <c r="L451" s="110"/>
      <c r="M451" s="110"/>
      <c r="N451" s="110"/>
      <c r="O451" s="110"/>
      <c r="R451" s="101"/>
      <c r="S451" s="101"/>
    </row>
    <row r="452">
      <c r="C452" s="90"/>
      <c r="D452" s="90"/>
      <c r="E452" s="67"/>
      <c r="F452" s="90"/>
      <c r="G452" s="107"/>
      <c r="H452" s="108"/>
      <c r="J452" s="109"/>
      <c r="K452" s="110"/>
      <c r="L452" s="110"/>
      <c r="M452" s="110"/>
      <c r="N452" s="110"/>
      <c r="O452" s="110"/>
      <c r="R452" s="101"/>
      <c r="S452" s="101"/>
    </row>
    <row r="453">
      <c r="C453" s="90"/>
      <c r="D453" s="90"/>
      <c r="E453" s="67"/>
      <c r="F453" s="90"/>
      <c r="G453" s="107"/>
      <c r="H453" s="108"/>
      <c r="J453" s="109"/>
      <c r="K453" s="110"/>
      <c r="L453" s="110"/>
      <c r="M453" s="110"/>
      <c r="N453" s="110"/>
      <c r="O453" s="110"/>
      <c r="R453" s="101"/>
      <c r="S453" s="101"/>
    </row>
    <row r="454">
      <c r="C454" s="90"/>
      <c r="D454" s="90"/>
      <c r="E454" s="67"/>
      <c r="F454" s="90"/>
      <c r="G454" s="107"/>
      <c r="H454" s="108"/>
      <c r="J454" s="109"/>
      <c r="K454" s="110"/>
      <c r="L454" s="110"/>
      <c r="M454" s="110"/>
      <c r="N454" s="110"/>
      <c r="O454" s="110"/>
      <c r="R454" s="101"/>
      <c r="S454" s="101"/>
    </row>
    <row r="455">
      <c r="C455" s="90"/>
      <c r="D455" s="90"/>
      <c r="E455" s="67"/>
      <c r="F455" s="90"/>
      <c r="G455" s="107"/>
      <c r="H455" s="108"/>
      <c r="J455" s="109"/>
      <c r="K455" s="110"/>
      <c r="L455" s="110"/>
      <c r="M455" s="110"/>
      <c r="N455" s="110"/>
      <c r="O455" s="110"/>
      <c r="R455" s="101"/>
      <c r="S455" s="101"/>
    </row>
    <row r="456">
      <c r="C456" s="90"/>
      <c r="D456" s="90"/>
      <c r="E456" s="67"/>
      <c r="F456" s="90"/>
      <c r="G456" s="107"/>
      <c r="H456" s="108"/>
      <c r="J456" s="109"/>
      <c r="K456" s="110"/>
      <c r="L456" s="110"/>
      <c r="M456" s="110"/>
      <c r="N456" s="110"/>
      <c r="O456" s="110"/>
      <c r="R456" s="101"/>
      <c r="S456" s="101"/>
    </row>
    <row r="457">
      <c r="C457" s="90"/>
      <c r="D457" s="90"/>
      <c r="E457" s="67"/>
      <c r="F457" s="90"/>
      <c r="G457" s="107"/>
      <c r="H457" s="108"/>
      <c r="J457" s="109"/>
      <c r="K457" s="110"/>
      <c r="L457" s="110"/>
      <c r="M457" s="110"/>
      <c r="N457" s="110"/>
      <c r="O457" s="110"/>
      <c r="R457" s="101"/>
      <c r="S457" s="101"/>
    </row>
    <row r="458">
      <c r="C458" s="90"/>
      <c r="D458" s="90"/>
      <c r="E458" s="67"/>
      <c r="F458" s="90"/>
      <c r="G458" s="107"/>
      <c r="H458" s="108"/>
      <c r="J458" s="109"/>
      <c r="K458" s="110"/>
      <c r="L458" s="110"/>
      <c r="M458" s="110"/>
      <c r="N458" s="110"/>
      <c r="O458" s="110"/>
      <c r="R458" s="101"/>
      <c r="S458" s="101"/>
    </row>
    <row r="459">
      <c r="C459" s="90"/>
      <c r="D459" s="90"/>
      <c r="E459" s="67"/>
      <c r="F459" s="90"/>
      <c r="G459" s="107"/>
      <c r="H459" s="108"/>
      <c r="J459" s="109"/>
      <c r="K459" s="110"/>
      <c r="L459" s="110"/>
      <c r="M459" s="110"/>
      <c r="N459" s="110"/>
      <c r="O459" s="110"/>
      <c r="R459" s="101"/>
      <c r="S459" s="101"/>
    </row>
    <row r="460">
      <c r="C460" s="90"/>
      <c r="D460" s="90"/>
      <c r="E460" s="67"/>
      <c r="F460" s="90"/>
      <c r="G460" s="107"/>
      <c r="H460" s="108"/>
      <c r="J460" s="109"/>
      <c r="K460" s="110"/>
      <c r="L460" s="110"/>
      <c r="M460" s="110"/>
      <c r="N460" s="110"/>
      <c r="O460" s="110"/>
      <c r="R460" s="101"/>
      <c r="S460" s="101"/>
    </row>
    <row r="461">
      <c r="C461" s="90"/>
      <c r="D461" s="90"/>
      <c r="E461" s="67"/>
      <c r="F461" s="90"/>
      <c r="G461" s="107"/>
      <c r="H461" s="108"/>
      <c r="J461" s="109"/>
      <c r="K461" s="110"/>
      <c r="L461" s="110"/>
      <c r="M461" s="110"/>
      <c r="N461" s="110"/>
      <c r="O461" s="110"/>
      <c r="R461" s="101"/>
      <c r="S461" s="101"/>
    </row>
    <row r="462">
      <c r="C462" s="90"/>
      <c r="D462" s="90"/>
      <c r="E462" s="67"/>
      <c r="F462" s="90"/>
      <c r="G462" s="107"/>
      <c r="H462" s="108"/>
      <c r="J462" s="109"/>
      <c r="K462" s="110"/>
      <c r="L462" s="110"/>
      <c r="M462" s="110"/>
      <c r="N462" s="110"/>
      <c r="O462" s="110"/>
      <c r="R462" s="101"/>
      <c r="S462" s="101"/>
    </row>
    <row r="463">
      <c r="C463" s="90"/>
      <c r="D463" s="90"/>
      <c r="E463" s="67"/>
      <c r="F463" s="90"/>
      <c r="G463" s="107"/>
      <c r="H463" s="108"/>
      <c r="J463" s="109"/>
      <c r="K463" s="110"/>
      <c r="L463" s="110"/>
      <c r="M463" s="110"/>
      <c r="N463" s="110"/>
      <c r="O463" s="110"/>
      <c r="R463" s="101"/>
      <c r="S463" s="101"/>
    </row>
    <row r="464">
      <c r="C464" s="90"/>
      <c r="D464" s="90"/>
      <c r="E464" s="67"/>
      <c r="F464" s="90"/>
      <c r="G464" s="107"/>
      <c r="H464" s="108"/>
      <c r="J464" s="109"/>
      <c r="K464" s="110"/>
      <c r="L464" s="110"/>
      <c r="M464" s="110"/>
      <c r="N464" s="110"/>
      <c r="O464" s="110"/>
      <c r="R464" s="101"/>
      <c r="S464" s="101"/>
    </row>
    <row r="465">
      <c r="C465" s="90"/>
      <c r="D465" s="90"/>
      <c r="E465" s="67"/>
      <c r="F465" s="90"/>
      <c r="G465" s="107"/>
      <c r="H465" s="108"/>
      <c r="J465" s="109"/>
      <c r="K465" s="110"/>
      <c r="L465" s="110"/>
      <c r="M465" s="110"/>
      <c r="N465" s="110"/>
      <c r="O465" s="110"/>
      <c r="R465" s="101"/>
      <c r="S465" s="101"/>
    </row>
    <row r="466">
      <c r="C466" s="90"/>
      <c r="D466" s="90"/>
      <c r="E466" s="67"/>
      <c r="F466" s="90"/>
      <c r="G466" s="107"/>
      <c r="H466" s="108"/>
      <c r="J466" s="109"/>
      <c r="K466" s="110"/>
      <c r="L466" s="110"/>
      <c r="M466" s="110"/>
      <c r="N466" s="110"/>
      <c r="O466" s="110"/>
      <c r="R466" s="101"/>
      <c r="S466" s="101"/>
    </row>
    <row r="467">
      <c r="C467" s="90"/>
      <c r="D467" s="90"/>
      <c r="E467" s="67"/>
      <c r="F467" s="90"/>
      <c r="G467" s="107"/>
      <c r="H467" s="108"/>
      <c r="J467" s="109"/>
      <c r="K467" s="110"/>
      <c r="L467" s="110"/>
      <c r="M467" s="110"/>
      <c r="N467" s="110"/>
      <c r="O467" s="110"/>
      <c r="R467" s="101"/>
      <c r="S467" s="101"/>
    </row>
    <row r="468">
      <c r="C468" s="90"/>
      <c r="D468" s="90"/>
      <c r="E468" s="67"/>
      <c r="F468" s="90"/>
      <c r="G468" s="107"/>
      <c r="H468" s="108"/>
      <c r="J468" s="109"/>
      <c r="K468" s="110"/>
      <c r="L468" s="110"/>
      <c r="M468" s="110"/>
      <c r="N468" s="110"/>
      <c r="O468" s="110"/>
      <c r="R468" s="101"/>
      <c r="S468" s="101"/>
    </row>
    <row r="469">
      <c r="C469" s="90"/>
      <c r="D469" s="90"/>
      <c r="E469" s="67"/>
      <c r="F469" s="90"/>
      <c r="G469" s="107"/>
      <c r="H469" s="108"/>
      <c r="J469" s="109"/>
      <c r="K469" s="110"/>
      <c r="L469" s="110"/>
      <c r="M469" s="110"/>
      <c r="N469" s="110"/>
      <c r="O469" s="110"/>
      <c r="R469" s="101"/>
      <c r="S469" s="101"/>
    </row>
    <row r="470">
      <c r="C470" s="90"/>
      <c r="D470" s="90"/>
      <c r="E470" s="67"/>
      <c r="F470" s="90"/>
      <c r="G470" s="107"/>
      <c r="H470" s="108"/>
      <c r="J470" s="109"/>
      <c r="K470" s="110"/>
      <c r="L470" s="110"/>
      <c r="M470" s="110"/>
      <c r="N470" s="110"/>
      <c r="O470" s="110"/>
      <c r="R470" s="101"/>
      <c r="S470" s="101"/>
    </row>
    <row r="471">
      <c r="C471" s="90"/>
      <c r="D471" s="90"/>
      <c r="E471" s="67"/>
      <c r="F471" s="90"/>
      <c r="G471" s="107"/>
      <c r="H471" s="108"/>
      <c r="J471" s="109"/>
      <c r="K471" s="110"/>
      <c r="L471" s="110"/>
      <c r="M471" s="110"/>
      <c r="N471" s="110"/>
      <c r="O471" s="110"/>
      <c r="R471" s="101"/>
      <c r="S471" s="101"/>
    </row>
    <row r="472">
      <c r="C472" s="90"/>
      <c r="D472" s="90"/>
      <c r="E472" s="67"/>
      <c r="F472" s="90"/>
      <c r="G472" s="107"/>
      <c r="H472" s="108"/>
      <c r="J472" s="109"/>
      <c r="K472" s="110"/>
      <c r="L472" s="110"/>
      <c r="M472" s="110"/>
      <c r="N472" s="110"/>
      <c r="O472" s="110"/>
      <c r="R472" s="101"/>
      <c r="S472" s="101"/>
    </row>
    <row r="473">
      <c r="C473" s="90"/>
      <c r="D473" s="90"/>
      <c r="E473" s="67"/>
      <c r="F473" s="90"/>
      <c r="G473" s="107"/>
      <c r="H473" s="108"/>
      <c r="J473" s="109"/>
      <c r="K473" s="110"/>
      <c r="L473" s="110"/>
      <c r="M473" s="110"/>
      <c r="N473" s="110"/>
      <c r="O473" s="110"/>
      <c r="R473" s="101"/>
      <c r="S473" s="101"/>
    </row>
    <row r="474">
      <c r="C474" s="90"/>
      <c r="D474" s="90"/>
      <c r="E474" s="67"/>
      <c r="F474" s="90"/>
      <c r="G474" s="107"/>
      <c r="H474" s="108"/>
      <c r="J474" s="109"/>
      <c r="K474" s="110"/>
      <c r="L474" s="110"/>
      <c r="M474" s="110"/>
      <c r="N474" s="110"/>
      <c r="O474" s="110"/>
      <c r="R474" s="101"/>
      <c r="S474" s="101"/>
    </row>
    <row r="475">
      <c r="C475" s="90"/>
      <c r="D475" s="90"/>
      <c r="E475" s="67"/>
      <c r="F475" s="90"/>
      <c r="G475" s="107"/>
      <c r="H475" s="108"/>
      <c r="J475" s="109"/>
      <c r="K475" s="110"/>
      <c r="L475" s="110"/>
      <c r="M475" s="110"/>
      <c r="N475" s="110"/>
      <c r="O475" s="110"/>
      <c r="R475" s="101"/>
      <c r="S475" s="101"/>
    </row>
    <row r="476">
      <c r="C476" s="90"/>
      <c r="D476" s="90"/>
      <c r="E476" s="67"/>
      <c r="F476" s="90"/>
      <c r="G476" s="107"/>
      <c r="H476" s="108"/>
      <c r="J476" s="109"/>
      <c r="K476" s="110"/>
      <c r="L476" s="110"/>
      <c r="M476" s="110"/>
      <c r="N476" s="110"/>
      <c r="O476" s="110"/>
      <c r="R476" s="101"/>
      <c r="S476" s="101"/>
    </row>
    <row r="477">
      <c r="C477" s="90"/>
      <c r="D477" s="90"/>
      <c r="E477" s="67"/>
      <c r="F477" s="90"/>
      <c r="G477" s="107"/>
      <c r="H477" s="108"/>
      <c r="J477" s="109"/>
      <c r="K477" s="110"/>
      <c r="L477" s="110"/>
      <c r="M477" s="110"/>
      <c r="N477" s="110"/>
      <c r="O477" s="110"/>
      <c r="R477" s="101"/>
      <c r="S477" s="101"/>
    </row>
    <row r="478">
      <c r="C478" s="90"/>
      <c r="D478" s="90"/>
      <c r="E478" s="67"/>
      <c r="F478" s="90"/>
      <c r="G478" s="107"/>
      <c r="H478" s="108"/>
      <c r="J478" s="109"/>
      <c r="K478" s="110"/>
      <c r="L478" s="110"/>
      <c r="M478" s="110"/>
      <c r="N478" s="110"/>
      <c r="O478" s="110"/>
      <c r="R478" s="101"/>
      <c r="S478" s="101"/>
    </row>
    <row r="479">
      <c r="C479" s="90"/>
      <c r="D479" s="90"/>
      <c r="E479" s="67"/>
      <c r="F479" s="90"/>
      <c r="G479" s="107"/>
      <c r="H479" s="108"/>
      <c r="J479" s="109"/>
      <c r="K479" s="110"/>
      <c r="L479" s="110"/>
      <c r="M479" s="110"/>
      <c r="N479" s="110"/>
      <c r="O479" s="110"/>
      <c r="R479" s="101"/>
      <c r="S479" s="101"/>
    </row>
    <row r="480">
      <c r="C480" s="90"/>
      <c r="D480" s="90"/>
      <c r="E480" s="67"/>
      <c r="F480" s="90"/>
      <c r="G480" s="107"/>
      <c r="H480" s="108"/>
      <c r="J480" s="109"/>
      <c r="K480" s="110"/>
      <c r="L480" s="110"/>
      <c r="M480" s="110"/>
      <c r="N480" s="110"/>
      <c r="O480" s="110"/>
      <c r="R480" s="101"/>
      <c r="S480" s="101"/>
    </row>
    <row r="481">
      <c r="C481" s="90"/>
      <c r="D481" s="90"/>
      <c r="E481" s="67"/>
      <c r="F481" s="90"/>
      <c r="G481" s="107"/>
      <c r="H481" s="108"/>
      <c r="J481" s="109"/>
      <c r="K481" s="110"/>
      <c r="L481" s="110"/>
      <c r="M481" s="110"/>
      <c r="N481" s="110"/>
      <c r="O481" s="110"/>
      <c r="R481" s="101"/>
      <c r="S481" s="101"/>
    </row>
    <row r="482">
      <c r="C482" s="90"/>
      <c r="D482" s="90"/>
      <c r="E482" s="67"/>
      <c r="F482" s="90"/>
      <c r="G482" s="107"/>
      <c r="H482" s="108"/>
      <c r="J482" s="109"/>
      <c r="K482" s="110"/>
      <c r="L482" s="110"/>
      <c r="M482" s="110"/>
      <c r="N482" s="110"/>
      <c r="O482" s="110"/>
      <c r="R482" s="101"/>
      <c r="S482" s="101"/>
    </row>
    <row r="483">
      <c r="C483" s="90"/>
      <c r="D483" s="90"/>
      <c r="E483" s="67"/>
      <c r="F483" s="90"/>
      <c r="G483" s="107"/>
      <c r="H483" s="108"/>
      <c r="J483" s="109"/>
      <c r="K483" s="110"/>
      <c r="L483" s="110"/>
      <c r="M483" s="110"/>
      <c r="N483" s="110"/>
      <c r="O483" s="110"/>
      <c r="R483" s="101"/>
      <c r="S483" s="101"/>
    </row>
    <row r="484">
      <c r="C484" s="90"/>
      <c r="D484" s="90"/>
      <c r="E484" s="67"/>
      <c r="F484" s="90"/>
      <c r="G484" s="107"/>
      <c r="H484" s="108"/>
      <c r="J484" s="109"/>
      <c r="K484" s="110"/>
      <c r="L484" s="110"/>
      <c r="M484" s="110"/>
      <c r="N484" s="110"/>
      <c r="O484" s="110"/>
      <c r="R484" s="101"/>
      <c r="S484" s="101"/>
    </row>
    <row r="485">
      <c r="C485" s="90"/>
      <c r="D485" s="90"/>
      <c r="E485" s="67"/>
      <c r="F485" s="90"/>
      <c r="G485" s="107"/>
      <c r="H485" s="108"/>
      <c r="J485" s="109"/>
      <c r="K485" s="110"/>
      <c r="L485" s="110"/>
      <c r="M485" s="110"/>
      <c r="N485" s="110"/>
      <c r="O485" s="110"/>
      <c r="R485" s="101"/>
      <c r="S485" s="101"/>
    </row>
    <row r="486">
      <c r="C486" s="90"/>
      <c r="D486" s="90"/>
      <c r="E486" s="67"/>
      <c r="F486" s="90"/>
      <c r="G486" s="107"/>
      <c r="H486" s="108"/>
      <c r="J486" s="109"/>
      <c r="K486" s="110"/>
      <c r="L486" s="110"/>
      <c r="M486" s="110"/>
      <c r="N486" s="110"/>
      <c r="O486" s="110"/>
      <c r="R486" s="101"/>
      <c r="S486" s="101"/>
    </row>
    <row r="487">
      <c r="C487" s="90"/>
      <c r="D487" s="90"/>
      <c r="E487" s="67"/>
      <c r="F487" s="90"/>
      <c r="G487" s="107"/>
      <c r="H487" s="108"/>
      <c r="J487" s="109"/>
      <c r="K487" s="110"/>
      <c r="L487" s="110"/>
      <c r="M487" s="110"/>
      <c r="N487" s="110"/>
      <c r="O487" s="110"/>
      <c r="R487" s="101"/>
      <c r="S487" s="101"/>
    </row>
    <row r="488">
      <c r="C488" s="90"/>
      <c r="D488" s="90"/>
      <c r="E488" s="67"/>
      <c r="F488" s="90"/>
      <c r="G488" s="107"/>
      <c r="H488" s="108"/>
      <c r="J488" s="109"/>
      <c r="K488" s="110"/>
      <c r="L488" s="110"/>
      <c r="M488" s="110"/>
      <c r="N488" s="110"/>
      <c r="O488" s="110"/>
      <c r="R488" s="101"/>
      <c r="S488" s="101"/>
    </row>
    <row r="489">
      <c r="C489" s="90"/>
      <c r="D489" s="90"/>
      <c r="E489" s="67"/>
      <c r="F489" s="90"/>
      <c r="G489" s="107"/>
      <c r="H489" s="108"/>
      <c r="J489" s="109"/>
      <c r="K489" s="110"/>
      <c r="L489" s="110"/>
      <c r="M489" s="110"/>
      <c r="N489" s="110"/>
      <c r="O489" s="110"/>
      <c r="R489" s="101"/>
      <c r="S489" s="101"/>
    </row>
    <row r="490">
      <c r="C490" s="90"/>
      <c r="D490" s="90"/>
      <c r="E490" s="67"/>
      <c r="F490" s="90"/>
      <c r="G490" s="107"/>
      <c r="H490" s="108"/>
      <c r="J490" s="109"/>
      <c r="K490" s="110"/>
      <c r="L490" s="110"/>
      <c r="M490" s="110"/>
      <c r="N490" s="110"/>
      <c r="O490" s="110"/>
      <c r="R490" s="101"/>
      <c r="S490" s="101"/>
    </row>
    <row r="491">
      <c r="C491" s="90"/>
      <c r="D491" s="90"/>
      <c r="E491" s="67"/>
      <c r="F491" s="90"/>
      <c r="G491" s="107"/>
      <c r="H491" s="108"/>
      <c r="J491" s="109"/>
      <c r="K491" s="110"/>
      <c r="L491" s="110"/>
      <c r="M491" s="110"/>
      <c r="N491" s="110"/>
      <c r="O491" s="110"/>
      <c r="R491" s="101"/>
      <c r="S491" s="101"/>
    </row>
    <row r="492">
      <c r="C492" s="90"/>
      <c r="D492" s="90"/>
      <c r="E492" s="67"/>
      <c r="F492" s="90"/>
      <c r="G492" s="107"/>
      <c r="H492" s="108"/>
      <c r="J492" s="109"/>
      <c r="K492" s="110"/>
      <c r="L492" s="110"/>
      <c r="M492" s="110"/>
      <c r="N492" s="110"/>
      <c r="O492" s="110"/>
      <c r="R492" s="101"/>
      <c r="S492" s="101"/>
    </row>
    <row r="493">
      <c r="C493" s="90"/>
      <c r="D493" s="90"/>
      <c r="E493" s="67"/>
      <c r="F493" s="90"/>
      <c r="G493" s="107"/>
      <c r="H493" s="108"/>
      <c r="J493" s="109"/>
      <c r="K493" s="110"/>
      <c r="L493" s="110"/>
      <c r="M493" s="110"/>
      <c r="N493" s="110"/>
      <c r="O493" s="110"/>
      <c r="R493" s="101"/>
      <c r="S493" s="101"/>
    </row>
    <row r="494">
      <c r="C494" s="90"/>
      <c r="D494" s="90"/>
      <c r="E494" s="67"/>
      <c r="F494" s="90"/>
      <c r="G494" s="107"/>
      <c r="H494" s="108"/>
      <c r="J494" s="109"/>
      <c r="K494" s="110"/>
      <c r="L494" s="110"/>
      <c r="M494" s="110"/>
      <c r="N494" s="110"/>
      <c r="O494" s="110"/>
      <c r="R494" s="101"/>
      <c r="S494" s="101"/>
    </row>
    <row r="495">
      <c r="C495" s="90"/>
      <c r="D495" s="90"/>
      <c r="E495" s="67"/>
      <c r="F495" s="90"/>
      <c r="G495" s="107"/>
      <c r="H495" s="108"/>
      <c r="J495" s="109"/>
      <c r="K495" s="110"/>
      <c r="L495" s="110"/>
      <c r="M495" s="110"/>
      <c r="N495" s="110"/>
      <c r="O495" s="110"/>
      <c r="R495" s="101"/>
      <c r="S495" s="101"/>
    </row>
    <row r="496">
      <c r="C496" s="90"/>
      <c r="D496" s="90"/>
      <c r="E496" s="67"/>
      <c r="F496" s="90"/>
      <c r="G496" s="107"/>
      <c r="H496" s="108"/>
      <c r="J496" s="109"/>
      <c r="K496" s="110"/>
      <c r="L496" s="110"/>
      <c r="M496" s="110"/>
      <c r="N496" s="110"/>
      <c r="O496" s="110"/>
      <c r="R496" s="101"/>
      <c r="S496" s="101"/>
    </row>
    <row r="497">
      <c r="C497" s="90"/>
      <c r="D497" s="90"/>
      <c r="E497" s="67"/>
      <c r="F497" s="90"/>
      <c r="G497" s="107"/>
      <c r="H497" s="108"/>
      <c r="J497" s="109"/>
      <c r="K497" s="110"/>
      <c r="L497" s="110"/>
      <c r="M497" s="110"/>
      <c r="N497" s="110"/>
      <c r="O497" s="110"/>
      <c r="R497" s="101"/>
      <c r="S497" s="101"/>
    </row>
    <row r="498">
      <c r="C498" s="90"/>
      <c r="D498" s="90"/>
      <c r="E498" s="67"/>
      <c r="F498" s="90"/>
      <c r="G498" s="107"/>
      <c r="H498" s="108"/>
      <c r="J498" s="109"/>
      <c r="K498" s="110"/>
      <c r="L498" s="110"/>
      <c r="M498" s="110"/>
      <c r="N498" s="110"/>
      <c r="O498" s="110"/>
      <c r="R498" s="101"/>
      <c r="S498" s="101"/>
    </row>
    <row r="499">
      <c r="C499" s="90"/>
      <c r="D499" s="90"/>
      <c r="E499" s="67"/>
      <c r="F499" s="90"/>
      <c r="G499" s="107"/>
      <c r="H499" s="108"/>
      <c r="J499" s="109"/>
      <c r="K499" s="110"/>
      <c r="L499" s="110"/>
      <c r="M499" s="110"/>
      <c r="N499" s="110"/>
      <c r="O499" s="110"/>
      <c r="R499" s="101"/>
      <c r="S499" s="101"/>
    </row>
    <row r="500">
      <c r="C500" s="90"/>
      <c r="D500" s="90"/>
      <c r="E500" s="67"/>
      <c r="F500" s="90"/>
      <c r="G500" s="107"/>
      <c r="H500" s="108"/>
      <c r="J500" s="109"/>
      <c r="K500" s="110"/>
      <c r="L500" s="110"/>
      <c r="M500" s="110"/>
      <c r="N500" s="110"/>
      <c r="O500" s="110"/>
      <c r="R500" s="101"/>
      <c r="S500" s="101"/>
    </row>
    <row r="501">
      <c r="C501" s="90"/>
      <c r="D501" s="90"/>
      <c r="E501" s="67"/>
      <c r="F501" s="90"/>
      <c r="G501" s="107"/>
      <c r="H501" s="108"/>
      <c r="J501" s="109"/>
      <c r="K501" s="110"/>
      <c r="L501" s="110"/>
      <c r="M501" s="110"/>
      <c r="N501" s="110"/>
      <c r="O501" s="110"/>
      <c r="R501" s="101"/>
      <c r="S501" s="101"/>
    </row>
    <row r="502">
      <c r="C502" s="90"/>
      <c r="D502" s="90"/>
      <c r="E502" s="67"/>
      <c r="F502" s="90"/>
      <c r="G502" s="107"/>
      <c r="H502" s="108"/>
      <c r="J502" s="109"/>
      <c r="K502" s="110"/>
      <c r="L502" s="110"/>
      <c r="M502" s="110"/>
      <c r="N502" s="110"/>
      <c r="O502" s="110"/>
      <c r="R502" s="101"/>
      <c r="S502" s="101"/>
    </row>
    <row r="503">
      <c r="C503" s="90"/>
      <c r="D503" s="90"/>
      <c r="E503" s="67"/>
      <c r="F503" s="90"/>
      <c r="G503" s="107"/>
      <c r="H503" s="108"/>
      <c r="J503" s="109"/>
      <c r="K503" s="110"/>
      <c r="L503" s="110"/>
      <c r="M503" s="110"/>
      <c r="N503" s="110"/>
      <c r="O503" s="110"/>
      <c r="R503" s="101"/>
      <c r="S503" s="101"/>
    </row>
    <row r="504">
      <c r="C504" s="90"/>
      <c r="D504" s="90"/>
      <c r="E504" s="67"/>
      <c r="F504" s="90"/>
      <c r="G504" s="107"/>
      <c r="H504" s="108"/>
      <c r="J504" s="109"/>
      <c r="K504" s="110"/>
      <c r="L504" s="110"/>
      <c r="M504" s="110"/>
      <c r="N504" s="110"/>
      <c r="O504" s="110"/>
      <c r="R504" s="101"/>
      <c r="S504" s="101"/>
    </row>
    <row r="505">
      <c r="C505" s="90"/>
      <c r="D505" s="90"/>
      <c r="E505" s="67"/>
      <c r="F505" s="90"/>
      <c r="G505" s="107"/>
      <c r="H505" s="108"/>
      <c r="J505" s="109"/>
      <c r="K505" s="110"/>
      <c r="L505" s="110"/>
      <c r="M505" s="110"/>
      <c r="N505" s="110"/>
      <c r="O505" s="110"/>
      <c r="R505" s="101"/>
      <c r="S505" s="101"/>
    </row>
    <row r="506">
      <c r="C506" s="90"/>
      <c r="D506" s="90"/>
      <c r="E506" s="67"/>
      <c r="F506" s="90"/>
      <c r="G506" s="107"/>
      <c r="H506" s="108"/>
      <c r="J506" s="109"/>
      <c r="K506" s="110"/>
      <c r="L506" s="110"/>
      <c r="M506" s="110"/>
      <c r="N506" s="110"/>
      <c r="O506" s="110"/>
      <c r="R506" s="101"/>
      <c r="S506" s="101"/>
    </row>
    <row r="507">
      <c r="C507" s="90"/>
      <c r="D507" s="90"/>
      <c r="E507" s="67"/>
      <c r="F507" s="90"/>
      <c r="G507" s="107"/>
      <c r="H507" s="108"/>
      <c r="J507" s="109"/>
      <c r="K507" s="110"/>
      <c r="L507" s="110"/>
      <c r="M507" s="110"/>
      <c r="N507" s="110"/>
      <c r="O507" s="110"/>
      <c r="R507" s="101"/>
      <c r="S507" s="101"/>
    </row>
    <row r="508">
      <c r="C508" s="90"/>
      <c r="D508" s="90"/>
      <c r="E508" s="67"/>
      <c r="F508" s="90"/>
      <c r="G508" s="107"/>
      <c r="H508" s="108"/>
      <c r="J508" s="109"/>
      <c r="K508" s="110"/>
      <c r="L508" s="110"/>
      <c r="M508" s="110"/>
      <c r="N508" s="110"/>
      <c r="O508" s="110"/>
      <c r="R508" s="101"/>
      <c r="S508" s="101"/>
    </row>
    <row r="509">
      <c r="C509" s="90"/>
      <c r="D509" s="90"/>
      <c r="E509" s="67"/>
      <c r="F509" s="90"/>
      <c r="G509" s="107"/>
      <c r="H509" s="108"/>
      <c r="J509" s="109"/>
      <c r="K509" s="110"/>
      <c r="L509" s="110"/>
      <c r="M509" s="110"/>
      <c r="N509" s="110"/>
      <c r="O509" s="110"/>
      <c r="R509" s="101"/>
      <c r="S509" s="101"/>
    </row>
    <row r="510">
      <c r="C510" s="90"/>
      <c r="D510" s="90"/>
      <c r="E510" s="67"/>
      <c r="F510" s="90"/>
      <c r="G510" s="107"/>
      <c r="H510" s="108"/>
      <c r="J510" s="109"/>
      <c r="K510" s="110"/>
      <c r="L510" s="110"/>
      <c r="M510" s="110"/>
      <c r="N510" s="110"/>
      <c r="O510" s="110"/>
      <c r="R510" s="101"/>
      <c r="S510" s="101"/>
    </row>
    <row r="511">
      <c r="C511" s="90"/>
      <c r="D511" s="90"/>
      <c r="E511" s="67"/>
      <c r="F511" s="90"/>
      <c r="G511" s="107"/>
      <c r="H511" s="108"/>
      <c r="J511" s="109"/>
      <c r="K511" s="110"/>
      <c r="L511" s="110"/>
      <c r="M511" s="110"/>
      <c r="N511" s="110"/>
      <c r="O511" s="110"/>
      <c r="R511" s="101"/>
      <c r="S511" s="101"/>
    </row>
    <row r="512">
      <c r="C512" s="90"/>
      <c r="D512" s="90"/>
      <c r="E512" s="67"/>
      <c r="F512" s="90"/>
      <c r="G512" s="107"/>
      <c r="H512" s="108"/>
      <c r="J512" s="109"/>
      <c r="K512" s="110"/>
      <c r="L512" s="110"/>
      <c r="M512" s="110"/>
      <c r="N512" s="110"/>
      <c r="O512" s="110"/>
      <c r="R512" s="101"/>
      <c r="S512" s="101"/>
    </row>
    <row r="513">
      <c r="C513" s="90"/>
      <c r="D513" s="90"/>
      <c r="E513" s="67"/>
      <c r="F513" s="90"/>
      <c r="G513" s="107"/>
      <c r="H513" s="108"/>
      <c r="J513" s="109"/>
      <c r="K513" s="110"/>
      <c r="L513" s="110"/>
      <c r="M513" s="110"/>
      <c r="N513" s="110"/>
      <c r="O513" s="110"/>
      <c r="R513" s="101"/>
      <c r="S513" s="101"/>
    </row>
    <row r="514">
      <c r="C514" s="90"/>
      <c r="D514" s="90"/>
      <c r="E514" s="67"/>
      <c r="F514" s="90"/>
      <c r="G514" s="107"/>
      <c r="H514" s="108"/>
      <c r="J514" s="109"/>
      <c r="K514" s="110"/>
      <c r="L514" s="110"/>
      <c r="M514" s="110"/>
      <c r="N514" s="110"/>
      <c r="O514" s="110"/>
      <c r="R514" s="101"/>
      <c r="S514" s="101"/>
    </row>
    <row r="515">
      <c r="C515" s="90"/>
      <c r="D515" s="90"/>
      <c r="E515" s="67"/>
      <c r="F515" s="90"/>
      <c r="G515" s="107"/>
      <c r="H515" s="108"/>
      <c r="J515" s="109"/>
      <c r="K515" s="110"/>
      <c r="L515" s="110"/>
      <c r="M515" s="110"/>
      <c r="N515" s="110"/>
      <c r="O515" s="110"/>
      <c r="R515" s="101"/>
      <c r="S515" s="101"/>
    </row>
    <row r="516">
      <c r="C516" s="90"/>
      <c r="D516" s="90"/>
      <c r="E516" s="67"/>
      <c r="F516" s="90"/>
      <c r="G516" s="107"/>
      <c r="H516" s="108"/>
      <c r="J516" s="109"/>
      <c r="K516" s="110"/>
      <c r="L516" s="110"/>
      <c r="M516" s="110"/>
      <c r="N516" s="110"/>
      <c r="O516" s="110"/>
      <c r="R516" s="101"/>
      <c r="S516" s="101"/>
    </row>
    <row r="517">
      <c r="C517" s="90"/>
      <c r="D517" s="90"/>
      <c r="E517" s="67"/>
      <c r="F517" s="90"/>
      <c r="G517" s="107"/>
      <c r="H517" s="108"/>
      <c r="J517" s="109"/>
      <c r="K517" s="110"/>
      <c r="L517" s="110"/>
      <c r="M517" s="110"/>
      <c r="N517" s="110"/>
      <c r="O517" s="110"/>
      <c r="R517" s="101"/>
      <c r="S517" s="101"/>
    </row>
    <row r="518">
      <c r="C518" s="90"/>
      <c r="D518" s="90"/>
      <c r="E518" s="67"/>
      <c r="F518" s="90"/>
      <c r="G518" s="107"/>
      <c r="H518" s="108"/>
      <c r="J518" s="109"/>
      <c r="K518" s="110"/>
      <c r="L518" s="110"/>
      <c r="M518" s="110"/>
      <c r="N518" s="110"/>
      <c r="O518" s="110"/>
      <c r="R518" s="101"/>
      <c r="S518" s="101"/>
    </row>
    <row r="519">
      <c r="C519" s="90"/>
      <c r="D519" s="90"/>
      <c r="E519" s="67"/>
      <c r="F519" s="90"/>
      <c r="G519" s="107"/>
      <c r="H519" s="108"/>
      <c r="J519" s="109"/>
      <c r="K519" s="110"/>
      <c r="L519" s="110"/>
      <c r="M519" s="110"/>
      <c r="N519" s="110"/>
      <c r="O519" s="110"/>
      <c r="R519" s="101"/>
      <c r="S519" s="101"/>
    </row>
    <row r="520">
      <c r="C520" s="90"/>
      <c r="D520" s="90"/>
      <c r="E520" s="67"/>
      <c r="F520" s="90"/>
      <c r="G520" s="107"/>
      <c r="H520" s="108"/>
      <c r="J520" s="109"/>
      <c r="K520" s="110"/>
      <c r="L520" s="110"/>
      <c r="M520" s="110"/>
      <c r="N520" s="110"/>
      <c r="O520" s="110"/>
      <c r="R520" s="101"/>
      <c r="S520" s="101"/>
    </row>
    <row r="521">
      <c r="C521" s="90"/>
      <c r="D521" s="90"/>
      <c r="E521" s="67"/>
      <c r="F521" s="90"/>
      <c r="G521" s="107"/>
      <c r="H521" s="108"/>
      <c r="J521" s="109"/>
      <c r="K521" s="110"/>
      <c r="L521" s="110"/>
      <c r="M521" s="110"/>
      <c r="N521" s="110"/>
      <c r="O521" s="110"/>
      <c r="R521" s="101"/>
      <c r="S521" s="101"/>
    </row>
    <row r="522">
      <c r="C522" s="90"/>
      <c r="D522" s="90"/>
      <c r="E522" s="67"/>
      <c r="F522" s="90"/>
      <c r="G522" s="107"/>
      <c r="H522" s="108"/>
      <c r="J522" s="109"/>
      <c r="K522" s="110"/>
      <c r="L522" s="110"/>
      <c r="M522" s="110"/>
      <c r="N522" s="110"/>
      <c r="O522" s="110"/>
      <c r="R522" s="101"/>
      <c r="S522" s="101"/>
    </row>
    <row r="523">
      <c r="C523" s="90"/>
      <c r="D523" s="90"/>
      <c r="E523" s="67"/>
      <c r="F523" s="90"/>
      <c r="G523" s="107"/>
      <c r="H523" s="108"/>
      <c r="J523" s="109"/>
      <c r="K523" s="110"/>
      <c r="L523" s="110"/>
      <c r="M523" s="110"/>
      <c r="N523" s="110"/>
      <c r="O523" s="110"/>
      <c r="R523" s="101"/>
      <c r="S523" s="101"/>
    </row>
    <row r="524">
      <c r="C524" s="90"/>
      <c r="D524" s="90"/>
      <c r="E524" s="67"/>
      <c r="F524" s="90"/>
      <c r="G524" s="107"/>
      <c r="H524" s="108"/>
      <c r="J524" s="109"/>
      <c r="K524" s="110"/>
      <c r="L524" s="110"/>
      <c r="M524" s="110"/>
      <c r="N524" s="110"/>
      <c r="O524" s="110"/>
      <c r="R524" s="101"/>
      <c r="S524" s="101"/>
    </row>
    <row r="525">
      <c r="C525" s="90"/>
      <c r="D525" s="90"/>
      <c r="E525" s="67"/>
      <c r="F525" s="90"/>
      <c r="G525" s="107"/>
      <c r="H525" s="108"/>
      <c r="J525" s="109"/>
      <c r="K525" s="110"/>
      <c r="L525" s="110"/>
      <c r="M525" s="110"/>
      <c r="N525" s="110"/>
      <c r="O525" s="110"/>
      <c r="R525" s="101"/>
      <c r="S525" s="101"/>
    </row>
    <row r="526">
      <c r="C526" s="90"/>
      <c r="D526" s="90"/>
      <c r="E526" s="67"/>
      <c r="F526" s="90"/>
      <c r="G526" s="107"/>
      <c r="H526" s="108"/>
      <c r="J526" s="109"/>
      <c r="K526" s="110"/>
      <c r="L526" s="110"/>
      <c r="M526" s="110"/>
      <c r="N526" s="110"/>
      <c r="O526" s="110"/>
      <c r="R526" s="101"/>
      <c r="S526" s="101"/>
    </row>
    <row r="527">
      <c r="C527" s="90"/>
      <c r="D527" s="90"/>
      <c r="E527" s="67"/>
      <c r="F527" s="90"/>
      <c r="G527" s="107"/>
      <c r="H527" s="108"/>
      <c r="J527" s="109"/>
      <c r="K527" s="110"/>
      <c r="L527" s="110"/>
      <c r="M527" s="110"/>
      <c r="N527" s="110"/>
      <c r="O527" s="110"/>
      <c r="R527" s="101"/>
      <c r="S527" s="101"/>
    </row>
    <row r="528">
      <c r="C528" s="90"/>
      <c r="D528" s="90"/>
      <c r="E528" s="67"/>
      <c r="F528" s="90"/>
      <c r="G528" s="107"/>
      <c r="H528" s="108"/>
      <c r="J528" s="109"/>
      <c r="K528" s="110"/>
      <c r="L528" s="110"/>
      <c r="M528" s="110"/>
      <c r="N528" s="110"/>
      <c r="O528" s="110"/>
      <c r="R528" s="101"/>
      <c r="S528" s="101"/>
    </row>
    <row r="529">
      <c r="C529" s="90"/>
      <c r="D529" s="90"/>
      <c r="E529" s="67"/>
      <c r="F529" s="90"/>
      <c r="G529" s="107"/>
      <c r="H529" s="108"/>
      <c r="J529" s="109"/>
      <c r="K529" s="110"/>
      <c r="L529" s="110"/>
      <c r="M529" s="110"/>
      <c r="N529" s="110"/>
      <c r="O529" s="110"/>
      <c r="R529" s="101"/>
      <c r="S529" s="101"/>
    </row>
    <row r="530">
      <c r="C530" s="90"/>
      <c r="D530" s="90"/>
      <c r="E530" s="67"/>
      <c r="F530" s="90"/>
      <c r="G530" s="107"/>
      <c r="H530" s="108"/>
      <c r="J530" s="109"/>
      <c r="K530" s="110"/>
      <c r="L530" s="110"/>
      <c r="M530" s="110"/>
      <c r="N530" s="110"/>
      <c r="O530" s="110"/>
      <c r="R530" s="101"/>
      <c r="S530" s="101"/>
    </row>
    <row r="531">
      <c r="C531" s="90"/>
      <c r="D531" s="90"/>
      <c r="E531" s="67"/>
      <c r="F531" s="90"/>
      <c r="G531" s="107"/>
      <c r="H531" s="108"/>
      <c r="J531" s="109"/>
      <c r="K531" s="110"/>
      <c r="L531" s="110"/>
      <c r="M531" s="110"/>
      <c r="N531" s="110"/>
      <c r="O531" s="110"/>
      <c r="R531" s="101"/>
      <c r="S531" s="101"/>
    </row>
    <row r="532">
      <c r="C532" s="90"/>
      <c r="D532" s="90"/>
      <c r="E532" s="67"/>
      <c r="F532" s="90"/>
      <c r="G532" s="107"/>
      <c r="H532" s="108"/>
      <c r="J532" s="109"/>
      <c r="K532" s="110"/>
      <c r="L532" s="110"/>
      <c r="M532" s="110"/>
      <c r="N532" s="110"/>
      <c r="O532" s="110"/>
      <c r="R532" s="101"/>
      <c r="S532" s="101"/>
    </row>
    <row r="533">
      <c r="C533" s="90"/>
      <c r="D533" s="90"/>
      <c r="E533" s="67"/>
      <c r="F533" s="90"/>
      <c r="G533" s="107"/>
      <c r="H533" s="108"/>
      <c r="J533" s="109"/>
      <c r="K533" s="110"/>
      <c r="L533" s="110"/>
      <c r="M533" s="110"/>
      <c r="N533" s="110"/>
      <c r="O533" s="110"/>
      <c r="R533" s="101"/>
      <c r="S533" s="101"/>
    </row>
    <row r="534">
      <c r="C534" s="90"/>
      <c r="D534" s="90"/>
      <c r="E534" s="67"/>
      <c r="F534" s="90"/>
      <c r="G534" s="107"/>
      <c r="H534" s="108"/>
      <c r="J534" s="109"/>
      <c r="K534" s="110"/>
      <c r="L534" s="110"/>
      <c r="M534" s="110"/>
      <c r="N534" s="110"/>
      <c r="O534" s="110"/>
      <c r="R534" s="101"/>
      <c r="S534" s="101"/>
    </row>
    <row r="535">
      <c r="C535" s="90"/>
      <c r="D535" s="90"/>
      <c r="E535" s="67"/>
      <c r="F535" s="90"/>
      <c r="G535" s="107"/>
      <c r="H535" s="108"/>
      <c r="J535" s="109"/>
      <c r="K535" s="110"/>
      <c r="L535" s="110"/>
      <c r="M535" s="110"/>
      <c r="N535" s="110"/>
      <c r="O535" s="110"/>
      <c r="R535" s="101"/>
      <c r="S535" s="101"/>
    </row>
    <row r="536">
      <c r="C536" s="90"/>
      <c r="D536" s="90"/>
      <c r="E536" s="67"/>
      <c r="F536" s="90"/>
      <c r="G536" s="107"/>
      <c r="H536" s="108"/>
      <c r="J536" s="109"/>
      <c r="K536" s="110"/>
      <c r="L536" s="110"/>
      <c r="M536" s="110"/>
      <c r="N536" s="110"/>
      <c r="O536" s="110"/>
      <c r="R536" s="101"/>
      <c r="S536" s="101"/>
    </row>
    <row r="537">
      <c r="C537" s="90"/>
      <c r="D537" s="90"/>
      <c r="E537" s="67"/>
      <c r="F537" s="90"/>
      <c r="G537" s="107"/>
      <c r="H537" s="108"/>
      <c r="J537" s="109"/>
      <c r="K537" s="110"/>
      <c r="L537" s="110"/>
      <c r="M537" s="110"/>
      <c r="N537" s="110"/>
      <c r="O537" s="110"/>
      <c r="R537" s="101"/>
      <c r="S537" s="101"/>
    </row>
    <row r="538">
      <c r="C538" s="90"/>
      <c r="D538" s="90"/>
      <c r="E538" s="67"/>
      <c r="F538" s="90"/>
      <c r="G538" s="107"/>
      <c r="H538" s="108"/>
      <c r="J538" s="109"/>
      <c r="K538" s="110"/>
      <c r="L538" s="110"/>
      <c r="M538" s="110"/>
      <c r="N538" s="110"/>
      <c r="O538" s="110"/>
      <c r="R538" s="101"/>
      <c r="S538" s="101"/>
    </row>
    <row r="539">
      <c r="C539" s="90"/>
      <c r="D539" s="90"/>
      <c r="E539" s="67"/>
      <c r="F539" s="90"/>
      <c r="G539" s="107"/>
      <c r="H539" s="108"/>
      <c r="J539" s="109"/>
      <c r="K539" s="110"/>
      <c r="L539" s="110"/>
      <c r="M539" s="110"/>
      <c r="N539" s="110"/>
      <c r="O539" s="110"/>
      <c r="R539" s="101"/>
      <c r="S539" s="101"/>
    </row>
    <row r="540">
      <c r="C540" s="90"/>
      <c r="D540" s="90"/>
      <c r="E540" s="67"/>
      <c r="F540" s="90"/>
      <c r="G540" s="107"/>
      <c r="H540" s="108"/>
      <c r="J540" s="109"/>
      <c r="K540" s="110"/>
      <c r="L540" s="110"/>
      <c r="M540" s="110"/>
      <c r="N540" s="110"/>
      <c r="O540" s="110"/>
      <c r="R540" s="101"/>
      <c r="S540" s="101"/>
    </row>
    <row r="541">
      <c r="C541" s="90"/>
      <c r="D541" s="90"/>
      <c r="E541" s="67"/>
      <c r="F541" s="90"/>
      <c r="G541" s="107"/>
      <c r="H541" s="108"/>
      <c r="J541" s="109"/>
      <c r="K541" s="110"/>
      <c r="L541" s="110"/>
      <c r="M541" s="110"/>
      <c r="N541" s="110"/>
      <c r="O541" s="110"/>
      <c r="R541" s="101"/>
      <c r="S541" s="101"/>
    </row>
    <row r="542">
      <c r="C542" s="90"/>
      <c r="D542" s="90"/>
      <c r="E542" s="67"/>
      <c r="F542" s="90"/>
      <c r="G542" s="107"/>
      <c r="H542" s="108"/>
      <c r="J542" s="109"/>
      <c r="K542" s="110"/>
      <c r="L542" s="110"/>
      <c r="M542" s="110"/>
      <c r="N542" s="110"/>
      <c r="O542" s="110"/>
      <c r="R542" s="101"/>
      <c r="S542" s="101"/>
    </row>
    <row r="543">
      <c r="C543" s="90"/>
      <c r="D543" s="90"/>
      <c r="E543" s="67"/>
      <c r="F543" s="90"/>
      <c r="G543" s="107"/>
      <c r="H543" s="108"/>
      <c r="J543" s="109"/>
      <c r="K543" s="110"/>
      <c r="L543" s="110"/>
      <c r="M543" s="110"/>
      <c r="N543" s="110"/>
      <c r="O543" s="110"/>
      <c r="R543" s="101"/>
      <c r="S543" s="101"/>
    </row>
    <row r="544">
      <c r="C544" s="90"/>
      <c r="D544" s="90"/>
      <c r="E544" s="67"/>
      <c r="F544" s="90"/>
      <c r="G544" s="107"/>
      <c r="H544" s="108"/>
      <c r="J544" s="109"/>
      <c r="K544" s="110"/>
      <c r="L544" s="110"/>
      <c r="M544" s="110"/>
      <c r="N544" s="110"/>
      <c r="O544" s="110"/>
      <c r="R544" s="101"/>
      <c r="S544" s="101"/>
    </row>
    <row r="545">
      <c r="C545" s="90"/>
      <c r="D545" s="90"/>
      <c r="E545" s="67"/>
      <c r="F545" s="90"/>
      <c r="G545" s="107"/>
      <c r="H545" s="108"/>
      <c r="J545" s="109"/>
      <c r="K545" s="110"/>
      <c r="L545" s="110"/>
      <c r="M545" s="110"/>
      <c r="N545" s="110"/>
      <c r="O545" s="110"/>
      <c r="R545" s="101"/>
      <c r="S545" s="101"/>
    </row>
    <row r="546">
      <c r="C546" s="90"/>
      <c r="D546" s="90"/>
      <c r="E546" s="67"/>
      <c r="F546" s="90"/>
      <c r="G546" s="107"/>
      <c r="H546" s="108"/>
      <c r="J546" s="109"/>
      <c r="K546" s="110"/>
      <c r="L546" s="110"/>
      <c r="M546" s="110"/>
      <c r="N546" s="110"/>
      <c r="O546" s="110"/>
      <c r="R546" s="101"/>
      <c r="S546" s="101"/>
    </row>
    <row r="547">
      <c r="C547" s="90"/>
      <c r="D547" s="90"/>
      <c r="E547" s="67"/>
      <c r="F547" s="90"/>
      <c r="G547" s="107"/>
      <c r="H547" s="108"/>
      <c r="J547" s="109"/>
      <c r="K547" s="110"/>
      <c r="L547" s="110"/>
      <c r="M547" s="110"/>
      <c r="N547" s="110"/>
      <c r="O547" s="110"/>
      <c r="R547" s="101"/>
      <c r="S547" s="101"/>
    </row>
    <row r="548">
      <c r="C548" s="90"/>
      <c r="D548" s="90"/>
      <c r="E548" s="67"/>
      <c r="F548" s="90"/>
      <c r="G548" s="107"/>
      <c r="H548" s="108"/>
      <c r="J548" s="109"/>
      <c r="K548" s="110"/>
      <c r="L548" s="110"/>
      <c r="M548" s="110"/>
      <c r="N548" s="110"/>
      <c r="O548" s="110"/>
      <c r="R548" s="101"/>
      <c r="S548" s="101"/>
    </row>
    <row r="549">
      <c r="C549" s="90"/>
      <c r="D549" s="90"/>
      <c r="E549" s="67"/>
      <c r="F549" s="90"/>
      <c r="G549" s="107"/>
      <c r="H549" s="108"/>
      <c r="J549" s="109"/>
      <c r="K549" s="110"/>
      <c r="L549" s="110"/>
      <c r="M549" s="110"/>
      <c r="N549" s="110"/>
      <c r="O549" s="110"/>
      <c r="R549" s="101"/>
      <c r="S549" s="101"/>
    </row>
    <row r="550">
      <c r="C550" s="90"/>
      <c r="D550" s="90"/>
      <c r="E550" s="67"/>
      <c r="F550" s="90"/>
      <c r="G550" s="107"/>
      <c r="H550" s="108"/>
      <c r="J550" s="109"/>
      <c r="K550" s="110"/>
      <c r="L550" s="110"/>
      <c r="M550" s="110"/>
      <c r="N550" s="110"/>
      <c r="O550" s="110"/>
      <c r="R550" s="101"/>
      <c r="S550" s="101"/>
    </row>
    <row r="551">
      <c r="C551" s="90"/>
      <c r="D551" s="90"/>
      <c r="E551" s="67"/>
      <c r="F551" s="90"/>
      <c r="G551" s="107"/>
      <c r="H551" s="108"/>
      <c r="J551" s="109"/>
      <c r="K551" s="110"/>
      <c r="L551" s="110"/>
      <c r="M551" s="110"/>
      <c r="N551" s="110"/>
      <c r="O551" s="110"/>
      <c r="R551" s="101"/>
      <c r="S551" s="101"/>
    </row>
    <row r="552">
      <c r="C552" s="90"/>
      <c r="D552" s="90"/>
      <c r="E552" s="67"/>
      <c r="F552" s="90"/>
      <c r="G552" s="107"/>
      <c r="H552" s="108"/>
      <c r="J552" s="109"/>
      <c r="K552" s="110"/>
      <c r="L552" s="110"/>
      <c r="M552" s="110"/>
      <c r="N552" s="110"/>
      <c r="O552" s="110"/>
      <c r="R552" s="101"/>
      <c r="S552" s="101"/>
    </row>
    <row r="553">
      <c r="C553" s="90"/>
      <c r="D553" s="90"/>
      <c r="E553" s="67"/>
      <c r="F553" s="90"/>
      <c r="G553" s="107"/>
      <c r="H553" s="108"/>
      <c r="J553" s="109"/>
      <c r="K553" s="110"/>
      <c r="L553" s="110"/>
      <c r="M553" s="110"/>
      <c r="N553" s="110"/>
      <c r="O553" s="110"/>
      <c r="R553" s="101"/>
      <c r="S553" s="101"/>
    </row>
    <row r="554">
      <c r="C554" s="90"/>
      <c r="D554" s="90"/>
      <c r="E554" s="67"/>
      <c r="F554" s="90"/>
      <c r="G554" s="107"/>
      <c r="H554" s="108"/>
      <c r="J554" s="109"/>
      <c r="K554" s="110"/>
      <c r="L554" s="110"/>
      <c r="M554" s="110"/>
      <c r="N554" s="110"/>
      <c r="O554" s="110"/>
      <c r="R554" s="101"/>
      <c r="S554" s="101"/>
    </row>
    <row r="555">
      <c r="C555" s="90"/>
      <c r="D555" s="90"/>
      <c r="E555" s="67"/>
      <c r="F555" s="90"/>
      <c r="G555" s="107"/>
      <c r="H555" s="108"/>
      <c r="J555" s="109"/>
      <c r="K555" s="110"/>
      <c r="L555" s="110"/>
      <c r="M555" s="110"/>
      <c r="N555" s="110"/>
      <c r="O555" s="110"/>
      <c r="R555" s="101"/>
      <c r="S555" s="101"/>
    </row>
    <row r="556">
      <c r="C556" s="90"/>
      <c r="D556" s="90"/>
      <c r="E556" s="67"/>
      <c r="F556" s="90"/>
      <c r="G556" s="107"/>
      <c r="H556" s="108"/>
      <c r="J556" s="109"/>
      <c r="K556" s="110"/>
      <c r="L556" s="110"/>
      <c r="M556" s="110"/>
      <c r="N556" s="110"/>
      <c r="O556" s="110"/>
      <c r="R556" s="101"/>
      <c r="S556" s="101"/>
    </row>
    <row r="557">
      <c r="C557" s="90"/>
      <c r="D557" s="90"/>
      <c r="E557" s="67"/>
      <c r="F557" s="90"/>
      <c r="G557" s="107"/>
      <c r="H557" s="108"/>
      <c r="J557" s="109"/>
      <c r="K557" s="110"/>
      <c r="L557" s="110"/>
      <c r="M557" s="110"/>
      <c r="N557" s="110"/>
      <c r="O557" s="110"/>
      <c r="R557" s="101"/>
      <c r="S557" s="101"/>
    </row>
    <row r="558">
      <c r="C558" s="90"/>
      <c r="D558" s="90"/>
      <c r="E558" s="67"/>
      <c r="F558" s="90"/>
      <c r="G558" s="107"/>
      <c r="H558" s="108"/>
      <c r="J558" s="109"/>
      <c r="K558" s="110"/>
      <c r="L558" s="110"/>
      <c r="M558" s="110"/>
      <c r="N558" s="110"/>
      <c r="O558" s="110"/>
      <c r="R558" s="101"/>
      <c r="S558" s="101"/>
    </row>
    <row r="559">
      <c r="C559" s="90"/>
      <c r="D559" s="90"/>
      <c r="E559" s="67"/>
      <c r="F559" s="90"/>
      <c r="G559" s="107"/>
      <c r="H559" s="108"/>
      <c r="J559" s="109"/>
      <c r="K559" s="110"/>
      <c r="L559" s="110"/>
      <c r="M559" s="110"/>
      <c r="N559" s="110"/>
      <c r="O559" s="110"/>
      <c r="R559" s="101"/>
      <c r="S559" s="101"/>
    </row>
    <row r="560">
      <c r="C560" s="90"/>
      <c r="D560" s="90"/>
      <c r="E560" s="67"/>
      <c r="F560" s="90"/>
      <c r="G560" s="107"/>
      <c r="H560" s="108"/>
      <c r="J560" s="109"/>
      <c r="K560" s="110"/>
      <c r="L560" s="110"/>
      <c r="M560" s="110"/>
      <c r="N560" s="110"/>
      <c r="O560" s="110"/>
      <c r="R560" s="101"/>
      <c r="S560" s="101"/>
    </row>
    <row r="561">
      <c r="C561" s="90"/>
      <c r="D561" s="90"/>
      <c r="E561" s="67"/>
      <c r="F561" s="90"/>
      <c r="G561" s="107"/>
      <c r="H561" s="108"/>
      <c r="J561" s="109"/>
      <c r="K561" s="110"/>
      <c r="L561" s="110"/>
      <c r="M561" s="110"/>
      <c r="N561" s="110"/>
      <c r="O561" s="110"/>
      <c r="R561" s="101"/>
      <c r="S561" s="101"/>
    </row>
    <row r="562">
      <c r="C562" s="90"/>
      <c r="D562" s="90"/>
      <c r="E562" s="67"/>
      <c r="F562" s="90"/>
      <c r="G562" s="107"/>
      <c r="H562" s="108"/>
      <c r="J562" s="109"/>
      <c r="K562" s="110"/>
      <c r="L562" s="110"/>
      <c r="M562" s="110"/>
      <c r="N562" s="110"/>
      <c r="O562" s="110"/>
      <c r="R562" s="101"/>
      <c r="S562" s="101"/>
    </row>
    <row r="563">
      <c r="C563" s="90"/>
      <c r="D563" s="90"/>
      <c r="E563" s="67"/>
      <c r="F563" s="90"/>
      <c r="G563" s="107"/>
      <c r="H563" s="108"/>
      <c r="J563" s="109"/>
      <c r="K563" s="110"/>
      <c r="L563" s="110"/>
      <c r="M563" s="110"/>
      <c r="N563" s="110"/>
      <c r="O563" s="110"/>
      <c r="R563" s="101"/>
      <c r="S563" s="101"/>
    </row>
    <row r="564">
      <c r="C564" s="90"/>
      <c r="D564" s="90"/>
      <c r="E564" s="67"/>
      <c r="F564" s="90"/>
      <c r="G564" s="107"/>
      <c r="H564" s="108"/>
      <c r="J564" s="109"/>
      <c r="K564" s="110"/>
      <c r="L564" s="110"/>
      <c r="M564" s="110"/>
      <c r="N564" s="110"/>
      <c r="O564" s="110"/>
      <c r="R564" s="101"/>
      <c r="S564" s="101"/>
    </row>
    <row r="565">
      <c r="C565" s="90"/>
      <c r="D565" s="90"/>
      <c r="E565" s="67"/>
      <c r="F565" s="90"/>
      <c r="G565" s="107"/>
      <c r="H565" s="108"/>
      <c r="J565" s="109"/>
      <c r="K565" s="110"/>
      <c r="L565" s="110"/>
      <c r="M565" s="110"/>
      <c r="N565" s="110"/>
      <c r="O565" s="110"/>
      <c r="R565" s="101"/>
      <c r="S565" s="101"/>
    </row>
    <row r="566">
      <c r="C566" s="90"/>
      <c r="D566" s="90"/>
      <c r="E566" s="67"/>
      <c r="F566" s="90"/>
      <c r="G566" s="107"/>
      <c r="H566" s="108"/>
      <c r="J566" s="109"/>
      <c r="K566" s="110"/>
      <c r="L566" s="110"/>
      <c r="M566" s="110"/>
      <c r="N566" s="110"/>
      <c r="O566" s="110"/>
      <c r="R566" s="101"/>
      <c r="S566" s="101"/>
    </row>
    <row r="567">
      <c r="C567" s="90"/>
      <c r="D567" s="90"/>
      <c r="E567" s="67"/>
      <c r="F567" s="90"/>
      <c r="G567" s="107"/>
      <c r="H567" s="108"/>
      <c r="J567" s="109"/>
      <c r="K567" s="110"/>
      <c r="L567" s="110"/>
      <c r="M567" s="110"/>
      <c r="N567" s="110"/>
      <c r="O567" s="110"/>
      <c r="R567" s="101"/>
      <c r="S567" s="101"/>
    </row>
    <row r="568">
      <c r="C568" s="90"/>
      <c r="D568" s="90"/>
      <c r="E568" s="67"/>
      <c r="F568" s="90"/>
      <c r="G568" s="107"/>
      <c r="H568" s="108"/>
      <c r="J568" s="109"/>
      <c r="K568" s="110"/>
      <c r="L568" s="110"/>
      <c r="M568" s="110"/>
      <c r="N568" s="110"/>
      <c r="O568" s="110"/>
      <c r="R568" s="101"/>
      <c r="S568" s="101"/>
    </row>
    <row r="569">
      <c r="C569" s="90"/>
      <c r="D569" s="90"/>
      <c r="E569" s="67"/>
      <c r="F569" s="90"/>
      <c r="G569" s="107"/>
      <c r="H569" s="108"/>
      <c r="J569" s="109"/>
      <c r="K569" s="110"/>
      <c r="L569" s="110"/>
      <c r="M569" s="110"/>
      <c r="N569" s="110"/>
      <c r="O569" s="110"/>
      <c r="R569" s="101"/>
      <c r="S569" s="101"/>
    </row>
    <row r="570">
      <c r="C570" s="90"/>
      <c r="D570" s="90"/>
      <c r="E570" s="67"/>
      <c r="F570" s="90"/>
      <c r="G570" s="107"/>
      <c r="H570" s="108"/>
      <c r="J570" s="109"/>
      <c r="K570" s="110"/>
      <c r="L570" s="110"/>
      <c r="M570" s="110"/>
      <c r="N570" s="110"/>
      <c r="O570" s="110"/>
      <c r="R570" s="101"/>
      <c r="S570" s="101"/>
    </row>
    <row r="571">
      <c r="C571" s="90"/>
      <c r="D571" s="90"/>
      <c r="E571" s="67"/>
      <c r="F571" s="90"/>
      <c r="G571" s="107"/>
      <c r="H571" s="108"/>
      <c r="J571" s="109"/>
      <c r="K571" s="110"/>
      <c r="L571" s="110"/>
      <c r="M571" s="110"/>
      <c r="N571" s="110"/>
      <c r="O571" s="110"/>
      <c r="R571" s="101"/>
      <c r="S571" s="101"/>
    </row>
    <row r="572">
      <c r="C572" s="90"/>
      <c r="D572" s="90"/>
      <c r="E572" s="67"/>
      <c r="F572" s="90"/>
      <c r="G572" s="107"/>
      <c r="H572" s="108"/>
      <c r="J572" s="109"/>
      <c r="K572" s="110"/>
      <c r="L572" s="110"/>
      <c r="M572" s="110"/>
      <c r="N572" s="110"/>
      <c r="O572" s="110"/>
      <c r="R572" s="101"/>
      <c r="S572" s="101"/>
    </row>
    <row r="573">
      <c r="C573" s="90"/>
      <c r="D573" s="90"/>
      <c r="E573" s="67"/>
      <c r="F573" s="90"/>
      <c r="G573" s="107"/>
      <c r="H573" s="108"/>
      <c r="J573" s="109"/>
      <c r="K573" s="110"/>
      <c r="L573" s="110"/>
      <c r="M573" s="110"/>
      <c r="N573" s="110"/>
      <c r="O573" s="110"/>
      <c r="R573" s="101"/>
      <c r="S573" s="101"/>
    </row>
    <row r="574">
      <c r="C574" s="90"/>
      <c r="D574" s="90"/>
      <c r="E574" s="67"/>
      <c r="F574" s="90"/>
      <c r="G574" s="107"/>
      <c r="H574" s="108"/>
      <c r="J574" s="109"/>
      <c r="K574" s="110"/>
      <c r="L574" s="110"/>
      <c r="M574" s="110"/>
      <c r="N574" s="110"/>
      <c r="O574" s="110"/>
      <c r="R574" s="101"/>
      <c r="S574" s="101"/>
    </row>
    <row r="575">
      <c r="C575" s="90"/>
      <c r="D575" s="90"/>
      <c r="E575" s="67"/>
      <c r="F575" s="90"/>
      <c r="G575" s="107"/>
      <c r="H575" s="108"/>
      <c r="J575" s="109"/>
      <c r="K575" s="110"/>
      <c r="L575" s="110"/>
      <c r="M575" s="110"/>
      <c r="N575" s="110"/>
      <c r="O575" s="110"/>
      <c r="R575" s="101"/>
      <c r="S575" s="101"/>
    </row>
    <row r="576">
      <c r="C576" s="90"/>
      <c r="D576" s="90"/>
      <c r="E576" s="67"/>
      <c r="F576" s="90"/>
      <c r="G576" s="107"/>
      <c r="H576" s="108"/>
      <c r="J576" s="109"/>
      <c r="K576" s="110"/>
      <c r="L576" s="110"/>
      <c r="M576" s="110"/>
      <c r="N576" s="110"/>
      <c r="O576" s="110"/>
      <c r="R576" s="101"/>
      <c r="S576" s="101"/>
    </row>
    <row r="577">
      <c r="C577" s="90"/>
      <c r="D577" s="90"/>
      <c r="E577" s="67"/>
      <c r="F577" s="90"/>
      <c r="G577" s="107"/>
      <c r="H577" s="108"/>
      <c r="J577" s="109"/>
      <c r="K577" s="110"/>
      <c r="L577" s="110"/>
      <c r="M577" s="110"/>
      <c r="N577" s="110"/>
      <c r="O577" s="110"/>
      <c r="R577" s="101"/>
      <c r="S577" s="101"/>
    </row>
    <row r="578">
      <c r="C578" s="90"/>
      <c r="D578" s="90"/>
      <c r="E578" s="67"/>
      <c r="F578" s="90"/>
      <c r="G578" s="107"/>
      <c r="H578" s="108"/>
      <c r="J578" s="109"/>
      <c r="K578" s="110"/>
      <c r="L578" s="110"/>
      <c r="M578" s="110"/>
      <c r="N578" s="110"/>
      <c r="O578" s="110"/>
      <c r="R578" s="101"/>
      <c r="S578" s="101"/>
    </row>
    <row r="579">
      <c r="C579" s="90"/>
      <c r="D579" s="90"/>
      <c r="E579" s="67"/>
      <c r="F579" s="90"/>
      <c r="G579" s="107"/>
      <c r="H579" s="108"/>
      <c r="J579" s="109"/>
      <c r="K579" s="110"/>
      <c r="L579" s="110"/>
      <c r="M579" s="110"/>
      <c r="N579" s="110"/>
      <c r="O579" s="110"/>
      <c r="R579" s="101"/>
      <c r="S579" s="101"/>
    </row>
    <row r="580">
      <c r="C580" s="90"/>
      <c r="D580" s="90"/>
      <c r="E580" s="67"/>
      <c r="F580" s="90"/>
      <c r="G580" s="107"/>
      <c r="H580" s="108"/>
      <c r="J580" s="109"/>
      <c r="K580" s="110"/>
      <c r="L580" s="110"/>
      <c r="M580" s="110"/>
      <c r="N580" s="110"/>
      <c r="O580" s="110"/>
      <c r="R580" s="101"/>
      <c r="S580" s="101"/>
    </row>
    <row r="581">
      <c r="C581" s="90"/>
      <c r="D581" s="90"/>
      <c r="E581" s="67"/>
      <c r="F581" s="90"/>
      <c r="G581" s="107"/>
      <c r="H581" s="108"/>
      <c r="J581" s="109"/>
      <c r="K581" s="110"/>
      <c r="L581" s="110"/>
      <c r="M581" s="110"/>
      <c r="N581" s="110"/>
      <c r="O581" s="110"/>
      <c r="R581" s="101"/>
      <c r="S581" s="101"/>
    </row>
    <row r="582">
      <c r="C582" s="90"/>
      <c r="D582" s="90"/>
      <c r="E582" s="67"/>
      <c r="F582" s="90"/>
      <c r="G582" s="107"/>
      <c r="H582" s="108"/>
      <c r="J582" s="109"/>
      <c r="K582" s="110"/>
      <c r="L582" s="110"/>
      <c r="M582" s="110"/>
      <c r="N582" s="110"/>
      <c r="O582" s="110"/>
      <c r="R582" s="101"/>
      <c r="S582" s="101"/>
    </row>
    <row r="583">
      <c r="C583" s="90"/>
      <c r="D583" s="90"/>
      <c r="E583" s="67"/>
      <c r="F583" s="90"/>
      <c r="G583" s="107"/>
      <c r="H583" s="108"/>
      <c r="J583" s="109"/>
      <c r="K583" s="110"/>
      <c r="L583" s="110"/>
      <c r="M583" s="110"/>
      <c r="N583" s="110"/>
      <c r="O583" s="110"/>
      <c r="R583" s="101"/>
      <c r="S583" s="101"/>
    </row>
    <row r="584">
      <c r="C584" s="90"/>
      <c r="D584" s="90"/>
      <c r="E584" s="67"/>
      <c r="F584" s="90"/>
      <c r="G584" s="107"/>
      <c r="H584" s="108"/>
      <c r="J584" s="109"/>
      <c r="K584" s="110"/>
      <c r="L584" s="110"/>
      <c r="M584" s="110"/>
      <c r="N584" s="110"/>
      <c r="O584" s="110"/>
      <c r="R584" s="101"/>
      <c r="S584" s="101"/>
    </row>
    <row r="585">
      <c r="C585" s="90"/>
      <c r="D585" s="90"/>
      <c r="E585" s="67"/>
      <c r="F585" s="90"/>
      <c r="G585" s="107"/>
      <c r="H585" s="108"/>
      <c r="J585" s="109"/>
      <c r="K585" s="110"/>
      <c r="L585" s="110"/>
      <c r="M585" s="110"/>
      <c r="N585" s="110"/>
      <c r="O585" s="110"/>
      <c r="R585" s="101"/>
      <c r="S585" s="101"/>
    </row>
    <row r="586">
      <c r="C586" s="90"/>
      <c r="D586" s="90"/>
      <c r="E586" s="67"/>
      <c r="F586" s="90"/>
      <c r="G586" s="107"/>
      <c r="H586" s="108"/>
      <c r="J586" s="109"/>
      <c r="K586" s="110"/>
      <c r="L586" s="110"/>
      <c r="M586" s="110"/>
      <c r="N586" s="110"/>
      <c r="O586" s="110"/>
      <c r="R586" s="101"/>
      <c r="S586" s="101"/>
    </row>
    <row r="587">
      <c r="C587" s="90"/>
      <c r="D587" s="90"/>
      <c r="E587" s="67"/>
      <c r="F587" s="90"/>
      <c r="G587" s="107"/>
      <c r="H587" s="108"/>
      <c r="J587" s="109"/>
      <c r="K587" s="110"/>
      <c r="L587" s="110"/>
      <c r="M587" s="110"/>
      <c r="N587" s="110"/>
      <c r="O587" s="110"/>
      <c r="R587" s="101"/>
      <c r="S587" s="101"/>
    </row>
    <row r="588">
      <c r="C588" s="90"/>
      <c r="D588" s="90"/>
      <c r="E588" s="67"/>
      <c r="F588" s="90"/>
      <c r="G588" s="107"/>
      <c r="H588" s="108"/>
      <c r="J588" s="109"/>
      <c r="K588" s="110"/>
      <c r="L588" s="110"/>
      <c r="M588" s="110"/>
      <c r="N588" s="110"/>
      <c r="O588" s="110"/>
      <c r="R588" s="101"/>
      <c r="S588" s="101"/>
    </row>
    <row r="589">
      <c r="C589" s="90"/>
      <c r="D589" s="90"/>
      <c r="E589" s="67"/>
      <c r="F589" s="90"/>
      <c r="G589" s="107"/>
      <c r="H589" s="108"/>
      <c r="J589" s="109"/>
      <c r="K589" s="110"/>
      <c r="L589" s="110"/>
      <c r="M589" s="110"/>
      <c r="N589" s="110"/>
      <c r="O589" s="110"/>
      <c r="R589" s="101"/>
      <c r="S589" s="101"/>
    </row>
    <row r="590">
      <c r="C590" s="90"/>
      <c r="D590" s="90"/>
      <c r="E590" s="67"/>
      <c r="F590" s="90"/>
      <c r="G590" s="107"/>
      <c r="H590" s="108"/>
      <c r="J590" s="109"/>
      <c r="K590" s="110"/>
      <c r="L590" s="110"/>
      <c r="M590" s="110"/>
      <c r="N590" s="110"/>
      <c r="O590" s="110"/>
      <c r="R590" s="101"/>
      <c r="S590" s="101"/>
    </row>
    <row r="591">
      <c r="C591" s="90"/>
      <c r="D591" s="90"/>
      <c r="E591" s="67"/>
      <c r="F591" s="90"/>
      <c r="G591" s="107"/>
      <c r="H591" s="108"/>
      <c r="J591" s="109"/>
      <c r="K591" s="110"/>
      <c r="L591" s="110"/>
      <c r="M591" s="110"/>
      <c r="N591" s="110"/>
      <c r="O591" s="110"/>
      <c r="R591" s="101"/>
      <c r="S591" s="101"/>
    </row>
    <row r="592">
      <c r="C592" s="90"/>
      <c r="D592" s="90"/>
      <c r="E592" s="67"/>
      <c r="F592" s="90"/>
      <c r="G592" s="107"/>
      <c r="H592" s="108"/>
      <c r="J592" s="109"/>
      <c r="K592" s="110"/>
      <c r="L592" s="110"/>
      <c r="M592" s="110"/>
      <c r="N592" s="110"/>
      <c r="O592" s="110"/>
      <c r="R592" s="101"/>
      <c r="S592" s="101"/>
    </row>
    <row r="593">
      <c r="C593" s="90"/>
      <c r="D593" s="90"/>
      <c r="E593" s="67"/>
      <c r="F593" s="90"/>
      <c r="G593" s="107"/>
      <c r="H593" s="108"/>
      <c r="J593" s="109"/>
      <c r="K593" s="110"/>
      <c r="L593" s="110"/>
      <c r="M593" s="110"/>
      <c r="N593" s="110"/>
      <c r="O593" s="110"/>
      <c r="R593" s="101"/>
      <c r="S593" s="101"/>
    </row>
    <row r="594">
      <c r="C594" s="90"/>
      <c r="D594" s="90"/>
      <c r="E594" s="67"/>
      <c r="F594" s="90"/>
      <c r="G594" s="107"/>
      <c r="H594" s="108"/>
      <c r="J594" s="109"/>
      <c r="K594" s="110"/>
      <c r="L594" s="110"/>
      <c r="M594" s="110"/>
      <c r="N594" s="110"/>
      <c r="O594" s="110"/>
      <c r="R594" s="101"/>
      <c r="S594" s="101"/>
    </row>
    <row r="595">
      <c r="C595" s="90"/>
      <c r="D595" s="90"/>
      <c r="E595" s="67"/>
      <c r="F595" s="90"/>
      <c r="G595" s="107"/>
      <c r="H595" s="108"/>
      <c r="J595" s="109"/>
      <c r="K595" s="110"/>
      <c r="L595" s="110"/>
      <c r="M595" s="110"/>
      <c r="N595" s="110"/>
      <c r="O595" s="110"/>
      <c r="R595" s="101"/>
      <c r="S595" s="101"/>
    </row>
    <row r="596">
      <c r="C596" s="90"/>
      <c r="D596" s="90"/>
      <c r="E596" s="67"/>
      <c r="F596" s="90"/>
      <c r="G596" s="107"/>
      <c r="H596" s="108"/>
      <c r="J596" s="109"/>
      <c r="K596" s="110"/>
      <c r="L596" s="110"/>
      <c r="M596" s="110"/>
      <c r="N596" s="110"/>
      <c r="O596" s="110"/>
      <c r="R596" s="101"/>
      <c r="S596" s="101"/>
    </row>
    <row r="597">
      <c r="C597" s="90"/>
      <c r="D597" s="90"/>
      <c r="E597" s="67"/>
      <c r="F597" s="90"/>
      <c r="G597" s="107"/>
      <c r="H597" s="108"/>
      <c r="J597" s="109"/>
      <c r="K597" s="110"/>
      <c r="L597" s="110"/>
      <c r="M597" s="110"/>
      <c r="N597" s="110"/>
      <c r="O597" s="110"/>
      <c r="R597" s="101"/>
      <c r="S597" s="101"/>
    </row>
    <row r="598">
      <c r="C598" s="90"/>
      <c r="D598" s="90"/>
      <c r="E598" s="67"/>
      <c r="F598" s="90"/>
      <c r="G598" s="107"/>
      <c r="H598" s="108"/>
      <c r="J598" s="109"/>
      <c r="K598" s="110"/>
      <c r="L598" s="110"/>
      <c r="M598" s="110"/>
      <c r="N598" s="110"/>
      <c r="O598" s="110"/>
      <c r="R598" s="101"/>
      <c r="S598" s="101"/>
    </row>
    <row r="599">
      <c r="C599" s="90"/>
      <c r="D599" s="90"/>
      <c r="E599" s="67"/>
      <c r="F599" s="90"/>
      <c r="G599" s="107"/>
      <c r="H599" s="108"/>
      <c r="J599" s="109"/>
      <c r="K599" s="110"/>
      <c r="L599" s="110"/>
      <c r="M599" s="110"/>
      <c r="N599" s="110"/>
      <c r="O599" s="110"/>
      <c r="R599" s="101"/>
      <c r="S599" s="101"/>
    </row>
    <row r="600">
      <c r="C600" s="90"/>
      <c r="D600" s="90"/>
      <c r="E600" s="67"/>
      <c r="F600" s="90"/>
      <c r="G600" s="107"/>
      <c r="H600" s="108"/>
      <c r="J600" s="109"/>
      <c r="K600" s="110"/>
      <c r="L600" s="110"/>
      <c r="M600" s="110"/>
      <c r="N600" s="110"/>
      <c r="O600" s="110"/>
      <c r="R600" s="101"/>
      <c r="S600" s="101"/>
    </row>
    <row r="601">
      <c r="C601" s="90"/>
      <c r="D601" s="90"/>
      <c r="E601" s="67"/>
      <c r="F601" s="90"/>
      <c r="G601" s="107"/>
      <c r="H601" s="108"/>
      <c r="J601" s="109"/>
      <c r="K601" s="110"/>
      <c r="L601" s="110"/>
      <c r="M601" s="110"/>
      <c r="N601" s="110"/>
      <c r="O601" s="110"/>
      <c r="R601" s="101"/>
      <c r="S601" s="101"/>
    </row>
    <row r="602">
      <c r="C602" s="90"/>
      <c r="D602" s="90"/>
      <c r="E602" s="67"/>
      <c r="F602" s="90"/>
      <c r="G602" s="107"/>
      <c r="H602" s="108"/>
      <c r="J602" s="109"/>
      <c r="K602" s="110"/>
      <c r="L602" s="110"/>
      <c r="M602" s="110"/>
      <c r="N602" s="110"/>
      <c r="O602" s="110"/>
      <c r="R602" s="101"/>
      <c r="S602" s="101"/>
    </row>
    <row r="603">
      <c r="C603" s="90"/>
      <c r="D603" s="90"/>
      <c r="E603" s="67"/>
      <c r="F603" s="90"/>
      <c r="G603" s="107"/>
      <c r="H603" s="108"/>
      <c r="J603" s="109"/>
      <c r="K603" s="110"/>
      <c r="L603" s="110"/>
      <c r="M603" s="110"/>
      <c r="N603" s="110"/>
      <c r="O603" s="110"/>
      <c r="R603" s="101"/>
      <c r="S603" s="101"/>
    </row>
    <row r="604">
      <c r="C604" s="90"/>
      <c r="D604" s="90"/>
      <c r="E604" s="67"/>
      <c r="F604" s="90"/>
      <c r="G604" s="107"/>
      <c r="H604" s="108"/>
      <c r="J604" s="109"/>
      <c r="K604" s="110"/>
      <c r="L604" s="110"/>
      <c r="M604" s="110"/>
      <c r="N604" s="110"/>
      <c r="O604" s="110"/>
      <c r="R604" s="101"/>
      <c r="S604" s="101"/>
    </row>
    <row r="605">
      <c r="C605" s="90"/>
      <c r="D605" s="90"/>
      <c r="E605" s="67"/>
      <c r="F605" s="90"/>
      <c r="G605" s="107"/>
      <c r="H605" s="108"/>
      <c r="J605" s="109"/>
      <c r="K605" s="110"/>
      <c r="L605" s="110"/>
      <c r="M605" s="110"/>
      <c r="N605" s="110"/>
      <c r="O605" s="110"/>
      <c r="R605" s="101"/>
      <c r="S605" s="101"/>
    </row>
    <row r="606">
      <c r="C606" s="90"/>
      <c r="D606" s="90"/>
      <c r="E606" s="67"/>
      <c r="F606" s="90"/>
      <c r="G606" s="107"/>
      <c r="H606" s="108"/>
      <c r="J606" s="109"/>
      <c r="K606" s="110"/>
      <c r="L606" s="110"/>
      <c r="M606" s="110"/>
      <c r="N606" s="110"/>
      <c r="O606" s="110"/>
      <c r="R606" s="101"/>
      <c r="S606" s="101"/>
    </row>
    <row r="607">
      <c r="C607" s="90"/>
      <c r="D607" s="90"/>
      <c r="E607" s="67"/>
      <c r="F607" s="90"/>
      <c r="G607" s="107"/>
      <c r="H607" s="108"/>
      <c r="J607" s="109"/>
      <c r="K607" s="110"/>
      <c r="L607" s="110"/>
      <c r="M607" s="110"/>
      <c r="N607" s="110"/>
      <c r="O607" s="110"/>
      <c r="R607" s="101"/>
      <c r="S607" s="101"/>
    </row>
    <row r="608">
      <c r="C608" s="90"/>
      <c r="D608" s="90"/>
      <c r="E608" s="67"/>
      <c r="F608" s="90"/>
      <c r="G608" s="107"/>
      <c r="H608" s="108"/>
      <c r="J608" s="109"/>
      <c r="K608" s="110"/>
      <c r="L608" s="110"/>
      <c r="M608" s="110"/>
      <c r="N608" s="110"/>
      <c r="O608" s="110"/>
      <c r="R608" s="101"/>
      <c r="S608" s="101"/>
    </row>
    <row r="609">
      <c r="C609" s="90"/>
      <c r="D609" s="90"/>
      <c r="E609" s="67"/>
      <c r="F609" s="90"/>
      <c r="G609" s="107"/>
      <c r="H609" s="108"/>
      <c r="J609" s="109"/>
      <c r="K609" s="110"/>
      <c r="L609" s="110"/>
      <c r="M609" s="110"/>
      <c r="N609" s="110"/>
      <c r="O609" s="110"/>
      <c r="R609" s="101"/>
      <c r="S609" s="101"/>
    </row>
    <row r="610">
      <c r="C610" s="90"/>
      <c r="D610" s="90"/>
      <c r="E610" s="67"/>
      <c r="F610" s="90"/>
      <c r="G610" s="107"/>
      <c r="H610" s="108"/>
      <c r="J610" s="109"/>
      <c r="K610" s="110"/>
      <c r="L610" s="110"/>
      <c r="M610" s="110"/>
      <c r="N610" s="110"/>
      <c r="O610" s="110"/>
      <c r="R610" s="101"/>
      <c r="S610" s="101"/>
    </row>
    <row r="611">
      <c r="C611" s="90"/>
      <c r="D611" s="90"/>
      <c r="E611" s="67"/>
      <c r="F611" s="90"/>
      <c r="G611" s="107"/>
      <c r="H611" s="108"/>
      <c r="J611" s="109"/>
      <c r="K611" s="110"/>
      <c r="L611" s="110"/>
      <c r="M611" s="110"/>
      <c r="N611" s="110"/>
      <c r="O611" s="110"/>
      <c r="R611" s="101"/>
      <c r="S611" s="101"/>
    </row>
    <row r="612">
      <c r="C612" s="90"/>
      <c r="D612" s="90"/>
      <c r="E612" s="67"/>
      <c r="F612" s="90"/>
      <c r="G612" s="107"/>
      <c r="H612" s="108"/>
      <c r="J612" s="109"/>
      <c r="K612" s="110"/>
      <c r="L612" s="110"/>
      <c r="M612" s="110"/>
      <c r="N612" s="110"/>
      <c r="O612" s="110"/>
      <c r="R612" s="101"/>
      <c r="S612" s="101"/>
    </row>
    <row r="613">
      <c r="C613" s="90"/>
      <c r="D613" s="90"/>
      <c r="E613" s="67"/>
      <c r="F613" s="90"/>
      <c r="G613" s="107"/>
      <c r="H613" s="108"/>
      <c r="J613" s="109"/>
      <c r="K613" s="110"/>
      <c r="L613" s="110"/>
      <c r="M613" s="110"/>
      <c r="N613" s="110"/>
      <c r="O613" s="110"/>
      <c r="R613" s="101"/>
      <c r="S613" s="101"/>
    </row>
    <row r="614">
      <c r="C614" s="90"/>
      <c r="D614" s="90"/>
      <c r="E614" s="67"/>
      <c r="F614" s="90"/>
      <c r="G614" s="107"/>
      <c r="H614" s="108"/>
      <c r="J614" s="109"/>
      <c r="K614" s="110"/>
      <c r="L614" s="110"/>
      <c r="M614" s="110"/>
      <c r="N614" s="110"/>
      <c r="O614" s="110"/>
      <c r="R614" s="101"/>
      <c r="S614" s="101"/>
    </row>
    <row r="615">
      <c r="C615" s="90"/>
      <c r="D615" s="90"/>
      <c r="E615" s="67"/>
      <c r="F615" s="90"/>
      <c r="G615" s="107"/>
      <c r="H615" s="108"/>
      <c r="J615" s="109"/>
      <c r="K615" s="110"/>
      <c r="L615" s="110"/>
      <c r="M615" s="110"/>
      <c r="N615" s="110"/>
      <c r="O615" s="110"/>
      <c r="R615" s="101"/>
      <c r="S615" s="101"/>
    </row>
    <row r="616">
      <c r="C616" s="90"/>
      <c r="D616" s="90"/>
      <c r="E616" s="67"/>
      <c r="F616" s="90"/>
      <c r="G616" s="107"/>
      <c r="H616" s="108"/>
      <c r="J616" s="109"/>
      <c r="K616" s="110"/>
      <c r="L616" s="110"/>
      <c r="M616" s="110"/>
      <c r="N616" s="110"/>
      <c r="O616" s="110"/>
      <c r="R616" s="101"/>
      <c r="S616" s="101"/>
    </row>
    <row r="617">
      <c r="C617" s="90"/>
      <c r="D617" s="90"/>
      <c r="E617" s="67"/>
      <c r="F617" s="90"/>
      <c r="G617" s="107"/>
      <c r="H617" s="108"/>
      <c r="J617" s="109"/>
      <c r="K617" s="110"/>
      <c r="L617" s="110"/>
      <c r="M617" s="110"/>
      <c r="N617" s="110"/>
      <c r="O617" s="110"/>
      <c r="R617" s="101"/>
      <c r="S617" s="101"/>
    </row>
    <row r="618">
      <c r="C618" s="90"/>
      <c r="D618" s="90"/>
      <c r="E618" s="67"/>
      <c r="F618" s="90"/>
      <c r="G618" s="107"/>
      <c r="H618" s="108"/>
      <c r="J618" s="109"/>
      <c r="K618" s="110"/>
      <c r="L618" s="110"/>
      <c r="M618" s="110"/>
      <c r="N618" s="110"/>
      <c r="O618" s="110"/>
      <c r="R618" s="101"/>
      <c r="S618" s="101"/>
    </row>
    <row r="619">
      <c r="C619" s="90"/>
      <c r="D619" s="90"/>
      <c r="E619" s="67"/>
      <c r="F619" s="90"/>
      <c r="G619" s="107"/>
      <c r="H619" s="108"/>
      <c r="J619" s="109"/>
      <c r="K619" s="110"/>
      <c r="L619" s="110"/>
      <c r="M619" s="110"/>
      <c r="N619" s="110"/>
      <c r="O619" s="110"/>
      <c r="R619" s="101"/>
      <c r="S619" s="101"/>
    </row>
    <row r="620">
      <c r="C620" s="90"/>
      <c r="D620" s="90"/>
      <c r="E620" s="67"/>
      <c r="F620" s="90"/>
      <c r="G620" s="107"/>
      <c r="H620" s="108"/>
      <c r="J620" s="109"/>
      <c r="K620" s="110"/>
      <c r="L620" s="110"/>
      <c r="M620" s="110"/>
      <c r="N620" s="110"/>
      <c r="O620" s="110"/>
      <c r="R620" s="101"/>
      <c r="S620" s="101"/>
    </row>
    <row r="621">
      <c r="C621" s="90"/>
      <c r="D621" s="90"/>
      <c r="E621" s="67"/>
      <c r="F621" s="90"/>
      <c r="G621" s="107"/>
      <c r="H621" s="108"/>
      <c r="J621" s="109"/>
      <c r="K621" s="110"/>
      <c r="L621" s="110"/>
      <c r="M621" s="110"/>
      <c r="N621" s="110"/>
      <c r="O621" s="110"/>
      <c r="R621" s="101"/>
      <c r="S621" s="101"/>
    </row>
    <row r="622">
      <c r="C622" s="90"/>
      <c r="D622" s="90"/>
      <c r="E622" s="67"/>
      <c r="F622" s="90"/>
      <c r="G622" s="107"/>
      <c r="H622" s="108"/>
      <c r="J622" s="109"/>
      <c r="K622" s="110"/>
      <c r="L622" s="110"/>
      <c r="M622" s="110"/>
      <c r="N622" s="110"/>
      <c r="O622" s="110"/>
      <c r="R622" s="101"/>
      <c r="S622" s="101"/>
    </row>
    <row r="623">
      <c r="C623" s="90"/>
      <c r="D623" s="90"/>
      <c r="E623" s="67"/>
      <c r="F623" s="90"/>
      <c r="G623" s="107"/>
      <c r="H623" s="108"/>
      <c r="J623" s="109"/>
      <c r="K623" s="110"/>
      <c r="L623" s="110"/>
      <c r="M623" s="110"/>
      <c r="N623" s="110"/>
      <c r="O623" s="110"/>
      <c r="R623" s="101"/>
      <c r="S623" s="101"/>
    </row>
    <row r="624">
      <c r="C624" s="90"/>
      <c r="D624" s="90"/>
      <c r="E624" s="67"/>
      <c r="F624" s="90"/>
      <c r="G624" s="107"/>
      <c r="H624" s="108"/>
      <c r="J624" s="109"/>
      <c r="K624" s="110"/>
      <c r="L624" s="110"/>
      <c r="M624" s="110"/>
      <c r="N624" s="110"/>
      <c r="O624" s="110"/>
      <c r="R624" s="101"/>
      <c r="S624" s="101"/>
    </row>
    <row r="625">
      <c r="C625" s="90"/>
      <c r="D625" s="90"/>
      <c r="E625" s="67"/>
      <c r="F625" s="90"/>
      <c r="G625" s="107"/>
      <c r="H625" s="108"/>
      <c r="J625" s="109"/>
      <c r="K625" s="110"/>
      <c r="L625" s="110"/>
      <c r="M625" s="110"/>
      <c r="N625" s="110"/>
      <c r="O625" s="110"/>
      <c r="R625" s="101"/>
      <c r="S625" s="101"/>
    </row>
    <row r="626">
      <c r="C626" s="90"/>
      <c r="D626" s="90"/>
      <c r="E626" s="67"/>
      <c r="F626" s="90"/>
      <c r="G626" s="107"/>
      <c r="H626" s="108"/>
      <c r="J626" s="109"/>
      <c r="K626" s="110"/>
      <c r="L626" s="110"/>
      <c r="M626" s="110"/>
      <c r="N626" s="110"/>
      <c r="O626" s="110"/>
      <c r="R626" s="101"/>
      <c r="S626" s="101"/>
    </row>
    <row r="627">
      <c r="C627" s="90"/>
      <c r="D627" s="90"/>
      <c r="E627" s="67"/>
      <c r="F627" s="90"/>
      <c r="G627" s="107"/>
      <c r="H627" s="108"/>
      <c r="J627" s="109"/>
      <c r="K627" s="110"/>
      <c r="L627" s="110"/>
      <c r="M627" s="110"/>
      <c r="N627" s="110"/>
      <c r="O627" s="110"/>
      <c r="R627" s="101"/>
      <c r="S627" s="101"/>
    </row>
    <row r="628">
      <c r="C628" s="90"/>
      <c r="D628" s="90"/>
      <c r="E628" s="67"/>
      <c r="F628" s="90"/>
      <c r="G628" s="107"/>
      <c r="H628" s="108"/>
      <c r="J628" s="109"/>
      <c r="K628" s="110"/>
      <c r="L628" s="110"/>
      <c r="M628" s="110"/>
      <c r="N628" s="110"/>
      <c r="O628" s="110"/>
      <c r="R628" s="101"/>
      <c r="S628" s="101"/>
    </row>
    <row r="629">
      <c r="C629" s="90"/>
      <c r="D629" s="90"/>
      <c r="E629" s="67"/>
      <c r="F629" s="90"/>
      <c r="G629" s="107"/>
      <c r="H629" s="108"/>
      <c r="J629" s="109"/>
      <c r="K629" s="110"/>
      <c r="L629" s="110"/>
      <c r="M629" s="110"/>
      <c r="N629" s="110"/>
      <c r="O629" s="110"/>
      <c r="R629" s="101"/>
      <c r="S629" s="101"/>
    </row>
    <row r="630">
      <c r="C630" s="90"/>
      <c r="D630" s="90"/>
      <c r="E630" s="67"/>
      <c r="F630" s="90"/>
      <c r="G630" s="107"/>
      <c r="H630" s="108"/>
      <c r="J630" s="109"/>
      <c r="K630" s="110"/>
      <c r="L630" s="110"/>
      <c r="M630" s="110"/>
      <c r="N630" s="110"/>
      <c r="O630" s="110"/>
      <c r="R630" s="101"/>
      <c r="S630" s="101"/>
    </row>
    <row r="631">
      <c r="C631" s="90"/>
      <c r="D631" s="90"/>
      <c r="E631" s="67"/>
      <c r="F631" s="90"/>
      <c r="G631" s="107"/>
      <c r="H631" s="108"/>
      <c r="J631" s="109"/>
      <c r="K631" s="110"/>
      <c r="L631" s="110"/>
      <c r="M631" s="110"/>
      <c r="N631" s="110"/>
      <c r="O631" s="110"/>
      <c r="R631" s="101"/>
      <c r="S631" s="101"/>
    </row>
    <row r="632">
      <c r="C632" s="90"/>
      <c r="D632" s="90"/>
      <c r="E632" s="67"/>
      <c r="F632" s="90"/>
      <c r="G632" s="107"/>
      <c r="H632" s="108"/>
      <c r="J632" s="109"/>
      <c r="K632" s="110"/>
      <c r="L632" s="110"/>
      <c r="M632" s="110"/>
      <c r="N632" s="110"/>
      <c r="O632" s="110"/>
      <c r="R632" s="101"/>
      <c r="S632" s="101"/>
    </row>
    <row r="633">
      <c r="C633" s="90"/>
      <c r="D633" s="90"/>
      <c r="E633" s="67"/>
      <c r="F633" s="90"/>
      <c r="G633" s="107"/>
      <c r="H633" s="108"/>
      <c r="J633" s="109"/>
      <c r="K633" s="110"/>
      <c r="L633" s="110"/>
      <c r="M633" s="110"/>
      <c r="N633" s="110"/>
      <c r="O633" s="110"/>
      <c r="R633" s="101"/>
      <c r="S633" s="101"/>
    </row>
    <row r="634">
      <c r="C634" s="90"/>
      <c r="D634" s="90"/>
      <c r="E634" s="67"/>
      <c r="F634" s="90"/>
      <c r="G634" s="107"/>
      <c r="H634" s="108"/>
      <c r="J634" s="109"/>
      <c r="K634" s="110"/>
      <c r="L634" s="110"/>
      <c r="M634" s="110"/>
      <c r="N634" s="110"/>
      <c r="O634" s="110"/>
      <c r="R634" s="101"/>
      <c r="S634" s="101"/>
    </row>
    <row r="635">
      <c r="C635" s="90"/>
      <c r="D635" s="90"/>
      <c r="E635" s="67"/>
      <c r="F635" s="90"/>
      <c r="G635" s="107"/>
      <c r="H635" s="108"/>
      <c r="J635" s="109"/>
      <c r="K635" s="110"/>
      <c r="L635" s="110"/>
      <c r="M635" s="110"/>
      <c r="N635" s="110"/>
      <c r="O635" s="110"/>
      <c r="R635" s="101"/>
      <c r="S635" s="101"/>
    </row>
    <row r="636">
      <c r="C636" s="90"/>
      <c r="D636" s="90"/>
      <c r="E636" s="67"/>
      <c r="F636" s="90"/>
      <c r="G636" s="107"/>
      <c r="H636" s="108"/>
      <c r="J636" s="109"/>
      <c r="K636" s="110"/>
      <c r="L636" s="110"/>
      <c r="M636" s="110"/>
      <c r="N636" s="110"/>
      <c r="O636" s="110"/>
      <c r="R636" s="101"/>
      <c r="S636" s="101"/>
    </row>
    <row r="637">
      <c r="C637" s="90"/>
      <c r="D637" s="90"/>
      <c r="E637" s="67"/>
      <c r="F637" s="90"/>
      <c r="G637" s="107"/>
      <c r="H637" s="108"/>
      <c r="J637" s="109"/>
      <c r="K637" s="110"/>
      <c r="L637" s="110"/>
      <c r="M637" s="110"/>
      <c r="N637" s="110"/>
      <c r="O637" s="110"/>
      <c r="R637" s="101"/>
      <c r="S637" s="101"/>
    </row>
    <row r="638">
      <c r="C638" s="90"/>
      <c r="D638" s="90"/>
      <c r="E638" s="67"/>
      <c r="F638" s="90"/>
      <c r="G638" s="107"/>
      <c r="H638" s="108"/>
      <c r="J638" s="109"/>
      <c r="K638" s="110"/>
      <c r="L638" s="110"/>
      <c r="M638" s="110"/>
      <c r="N638" s="110"/>
      <c r="O638" s="110"/>
      <c r="R638" s="101"/>
      <c r="S638" s="101"/>
    </row>
    <row r="639">
      <c r="C639" s="90"/>
      <c r="D639" s="90"/>
      <c r="E639" s="67"/>
      <c r="F639" s="90"/>
      <c r="G639" s="107"/>
      <c r="H639" s="108"/>
      <c r="J639" s="109"/>
      <c r="K639" s="110"/>
      <c r="L639" s="110"/>
      <c r="M639" s="110"/>
      <c r="N639" s="110"/>
      <c r="O639" s="110"/>
      <c r="R639" s="101"/>
      <c r="S639" s="101"/>
    </row>
    <row r="640">
      <c r="C640" s="90"/>
      <c r="D640" s="90"/>
      <c r="E640" s="67"/>
      <c r="F640" s="90"/>
      <c r="G640" s="107"/>
      <c r="H640" s="108"/>
      <c r="J640" s="109"/>
      <c r="K640" s="110"/>
      <c r="L640" s="110"/>
      <c r="M640" s="110"/>
      <c r="N640" s="110"/>
      <c r="O640" s="110"/>
      <c r="R640" s="101"/>
      <c r="S640" s="101"/>
    </row>
    <row r="641">
      <c r="C641" s="90"/>
      <c r="D641" s="90"/>
      <c r="E641" s="67"/>
      <c r="F641" s="90"/>
      <c r="G641" s="107"/>
      <c r="H641" s="108"/>
      <c r="J641" s="109"/>
      <c r="K641" s="110"/>
      <c r="L641" s="110"/>
      <c r="M641" s="110"/>
      <c r="N641" s="110"/>
      <c r="O641" s="110"/>
      <c r="R641" s="101"/>
      <c r="S641" s="101"/>
    </row>
    <row r="642">
      <c r="C642" s="90"/>
      <c r="D642" s="90"/>
      <c r="E642" s="67"/>
      <c r="F642" s="90"/>
      <c r="G642" s="107"/>
      <c r="H642" s="108"/>
      <c r="J642" s="109"/>
      <c r="K642" s="110"/>
      <c r="L642" s="110"/>
      <c r="M642" s="110"/>
      <c r="N642" s="110"/>
      <c r="O642" s="110"/>
      <c r="R642" s="101"/>
      <c r="S642" s="101"/>
    </row>
    <row r="643">
      <c r="C643" s="90"/>
      <c r="D643" s="90"/>
      <c r="E643" s="67"/>
      <c r="F643" s="90"/>
      <c r="G643" s="107"/>
      <c r="H643" s="108"/>
      <c r="J643" s="109"/>
      <c r="K643" s="110"/>
      <c r="L643" s="110"/>
      <c r="M643" s="110"/>
      <c r="N643" s="110"/>
      <c r="O643" s="110"/>
      <c r="R643" s="101"/>
      <c r="S643" s="101"/>
    </row>
    <row r="644">
      <c r="C644" s="90"/>
      <c r="D644" s="90"/>
      <c r="E644" s="67"/>
      <c r="F644" s="90"/>
      <c r="G644" s="107"/>
      <c r="H644" s="108"/>
      <c r="J644" s="109"/>
      <c r="K644" s="110"/>
      <c r="L644" s="110"/>
      <c r="M644" s="110"/>
      <c r="N644" s="110"/>
      <c r="O644" s="110"/>
      <c r="R644" s="101"/>
      <c r="S644" s="101"/>
    </row>
    <row r="645">
      <c r="C645" s="90"/>
      <c r="D645" s="90"/>
      <c r="E645" s="67"/>
      <c r="F645" s="90"/>
      <c r="G645" s="107"/>
      <c r="H645" s="108"/>
      <c r="J645" s="109"/>
      <c r="K645" s="110"/>
      <c r="L645" s="110"/>
      <c r="M645" s="110"/>
      <c r="N645" s="110"/>
      <c r="O645" s="110"/>
      <c r="R645" s="101"/>
      <c r="S645" s="101"/>
    </row>
    <row r="646">
      <c r="C646" s="90"/>
      <c r="D646" s="90"/>
      <c r="E646" s="67"/>
      <c r="F646" s="90"/>
      <c r="G646" s="107"/>
      <c r="H646" s="108"/>
      <c r="J646" s="109"/>
      <c r="K646" s="110"/>
      <c r="L646" s="110"/>
      <c r="M646" s="110"/>
      <c r="N646" s="110"/>
      <c r="O646" s="110"/>
      <c r="R646" s="101"/>
      <c r="S646" s="101"/>
    </row>
    <row r="647">
      <c r="C647" s="90"/>
      <c r="D647" s="90"/>
      <c r="E647" s="67"/>
      <c r="F647" s="90"/>
      <c r="G647" s="107"/>
      <c r="H647" s="108"/>
      <c r="J647" s="109"/>
      <c r="K647" s="110"/>
      <c r="L647" s="110"/>
      <c r="M647" s="110"/>
      <c r="N647" s="110"/>
      <c r="O647" s="110"/>
      <c r="R647" s="101"/>
      <c r="S647" s="101"/>
    </row>
    <row r="648">
      <c r="C648" s="90"/>
      <c r="D648" s="90"/>
      <c r="E648" s="67"/>
      <c r="F648" s="90"/>
      <c r="G648" s="107"/>
      <c r="H648" s="108"/>
      <c r="J648" s="109"/>
      <c r="K648" s="110"/>
      <c r="L648" s="110"/>
      <c r="M648" s="110"/>
      <c r="N648" s="110"/>
      <c r="O648" s="110"/>
      <c r="R648" s="101"/>
      <c r="S648" s="101"/>
    </row>
    <row r="649">
      <c r="C649" s="90"/>
      <c r="D649" s="90"/>
      <c r="E649" s="67"/>
      <c r="F649" s="90"/>
      <c r="G649" s="107"/>
      <c r="H649" s="108"/>
      <c r="J649" s="109"/>
      <c r="K649" s="110"/>
      <c r="L649" s="110"/>
      <c r="M649" s="110"/>
      <c r="N649" s="110"/>
      <c r="O649" s="110"/>
      <c r="R649" s="101"/>
      <c r="S649" s="101"/>
    </row>
    <row r="650">
      <c r="C650" s="90"/>
      <c r="D650" s="90"/>
      <c r="E650" s="67"/>
      <c r="F650" s="90"/>
      <c r="G650" s="107"/>
      <c r="H650" s="108"/>
      <c r="J650" s="109"/>
      <c r="K650" s="110"/>
      <c r="L650" s="110"/>
      <c r="M650" s="110"/>
      <c r="N650" s="110"/>
      <c r="O650" s="110"/>
      <c r="R650" s="101"/>
      <c r="S650" s="101"/>
    </row>
    <row r="651">
      <c r="C651" s="90"/>
      <c r="D651" s="90"/>
      <c r="E651" s="67"/>
      <c r="F651" s="90"/>
      <c r="G651" s="107"/>
      <c r="H651" s="108"/>
      <c r="J651" s="109"/>
      <c r="K651" s="110"/>
      <c r="L651" s="110"/>
      <c r="M651" s="110"/>
      <c r="N651" s="110"/>
      <c r="O651" s="110"/>
      <c r="R651" s="101"/>
      <c r="S651" s="101"/>
    </row>
    <row r="652">
      <c r="C652" s="90"/>
      <c r="D652" s="90"/>
      <c r="E652" s="67"/>
      <c r="F652" s="90"/>
      <c r="G652" s="107"/>
      <c r="H652" s="108"/>
      <c r="J652" s="109"/>
      <c r="K652" s="110"/>
      <c r="L652" s="110"/>
      <c r="M652" s="110"/>
      <c r="N652" s="110"/>
      <c r="O652" s="110"/>
      <c r="R652" s="101"/>
      <c r="S652" s="101"/>
    </row>
    <row r="653">
      <c r="C653" s="90"/>
      <c r="D653" s="90"/>
      <c r="E653" s="67"/>
      <c r="F653" s="90"/>
      <c r="G653" s="107"/>
      <c r="H653" s="108"/>
      <c r="J653" s="109"/>
      <c r="K653" s="110"/>
      <c r="L653" s="110"/>
      <c r="M653" s="110"/>
      <c r="N653" s="110"/>
      <c r="O653" s="110"/>
      <c r="R653" s="101"/>
      <c r="S653" s="101"/>
    </row>
    <row r="654">
      <c r="C654" s="90"/>
      <c r="D654" s="90"/>
      <c r="E654" s="67"/>
      <c r="F654" s="90"/>
      <c r="G654" s="107"/>
      <c r="H654" s="108"/>
      <c r="J654" s="109"/>
      <c r="K654" s="110"/>
      <c r="L654" s="110"/>
      <c r="M654" s="110"/>
      <c r="N654" s="110"/>
      <c r="O654" s="110"/>
      <c r="R654" s="101"/>
      <c r="S654" s="101"/>
    </row>
    <row r="655">
      <c r="C655" s="90"/>
      <c r="D655" s="90"/>
      <c r="E655" s="67"/>
      <c r="F655" s="90"/>
      <c r="G655" s="107"/>
      <c r="H655" s="108"/>
      <c r="J655" s="109"/>
      <c r="K655" s="110"/>
      <c r="L655" s="110"/>
      <c r="M655" s="110"/>
      <c r="N655" s="110"/>
      <c r="O655" s="110"/>
      <c r="R655" s="101"/>
      <c r="S655" s="101"/>
    </row>
    <row r="656">
      <c r="C656" s="90"/>
      <c r="D656" s="90"/>
      <c r="E656" s="67"/>
      <c r="F656" s="90"/>
      <c r="G656" s="107"/>
      <c r="H656" s="108"/>
      <c r="J656" s="109"/>
      <c r="K656" s="110"/>
      <c r="L656" s="110"/>
      <c r="M656" s="110"/>
      <c r="N656" s="110"/>
      <c r="O656" s="110"/>
      <c r="R656" s="101"/>
      <c r="S656" s="101"/>
    </row>
    <row r="657">
      <c r="C657" s="90"/>
      <c r="D657" s="90"/>
      <c r="E657" s="67"/>
      <c r="F657" s="90"/>
      <c r="G657" s="107"/>
      <c r="H657" s="108"/>
      <c r="J657" s="109"/>
      <c r="K657" s="110"/>
      <c r="L657" s="110"/>
      <c r="M657" s="110"/>
      <c r="N657" s="110"/>
      <c r="O657" s="110"/>
      <c r="R657" s="101"/>
      <c r="S657" s="101"/>
    </row>
    <row r="658">
      <c r="C658" s="90"/>
      <c r="D658" s="90"/>
      <c r="E658" s="67"/>
      <c r="F658" s="90"/>
      <c r="G658" s="107"/>
      <c r="H658" s="108"/>
      <c r="J658" s="109"/>
      <c r="K658" s="110"/>
      <c r="L658" s="110"/>
      <c r="M658" s="110"/>
      <c r="N658" s="110"/>
      <c r="O658" s="110"/>
      <c r="R658" s="101"/>
      <c r="S658" s="101"/>
    </row>
    <row r="659">
      <c r="C659" s="90"/>
      <c r="D659" s="90"/>
      <c r="E659" s="67"/>
      <c r="F659" s="90"/>
      <c r="G659" s="107"/>
      <c r="H659" s="108"/>
      <c r="J659" s="109"/>
      <c r="K659" s="110"/>
      <c r="L659" s="110"/>
      <c r="M659" s="110"/>
      <c r="N659" s="110"/>
      <c r="O659" s="110"/>
      <c r="R659" s="101"/>
      <c r="S659" s="101"/>
    </row>
    <row r="660">
      <c r="C660" s="90"/>
      <c r="D660" s="90"/>
      <c r="E660" s="67"/>
      <c r="F660" s="90"/>
      <c r="G660" s="107"/>
      <c r="H660" s="108"/>
      <c r="J660" s="109"/>
      <c r="K660" s="110"/>
      <c r="L660" s="110"/>
      <c r="M660" s="110"/>
      <c r="N660" s="110"/>
      <c r="O660" s="110"/>
      <c r="R660" s="101"/>
      <c r="S660" s="101"/>
    </row>
    <row r="661">
      <c r="C661" s="90"/>
      <c r="D661" s="90"/>
      <c r="E661" s="67"/>
      <c r="F661" s="90"/>
      <c r="G661" s="107"/>
      <c r="H661" s="108"/>
      <c r="J661" s="109"/>
      <c r="K661" s="110"/>
      <c r="L661" s="110"/>
      <c r="M661" s="110"/>
      <c r="N661" s="110"/>
      <c r="O661" s="110"/>
      <c r="R661" s="101"/>
      <c r="S661" s="101"/>
    </row>
    <row r="662">
      <c r="C662" s="90"/>
      <c r="D662" s="90"/>
      <c r="E662" s="67"/>
      <c r="F662" s="90"/>
      <c r="G662" s="107"/>
      <c r="H662" s="108"/>
      <c r="J662" s="109"/>
      <c r="K662" s="110"/>
      <c r="L662" s="110"/>
      <c r="M662" s="110"/>
      <c r="N662" s="110"/>
      <c r="O662" s="110"/>
      <c r="R662" s="101"/>
      <c r="S662" s="101"/>
    </row>
    <row r="663">
      <c r="C663" s="90"/>
      <c r="D663" s="90"/>
      <c r="E663" s="67"/>
      <c r="F663" s="90"/>
      <c r="G663" s="107"/>
      <c r="H663" s="108"/>
      <c r="J663" s="109"/>
      <c r="K663" s="110"/>
      <c r="L663" s="110"/>
      <c r="M663" s="110"/>
      <c r="N663" s="110"/>
      <c r="O663" s="110"/>
      <c r="R663" s="101"/>
      <c r="S663" s="101"/>
    </row>
    <row r="664">
      <c r="C664" s="90"/>
      <c r="D664" s="90"/>
      <c r="E664" s="67"/>
      <c r="F664" s="90"/>
      <c r="G664" s="107"/>
      <c r="H664" s="108"/>
      <c r="J664" s="109"/>
      <c r="K664" s="110"/>
      <c r="L664" s="110"/>
      <c r="M664" s="110"/>
      <c r="N664" s="110"/>
      <c r="O664" s="110"/>
      <c r="R664" s="101"/>
      <c r="S664" s="101"/>
    </row>
    <row r="665">
      <c r="C665" s="90"/>
      <c r="D665" s="90"/>
      <c r="E665" s="67"/>
      <c r="F665" s="90"/>
      <c r="G665" s="107"/>
      <c r="H665" s="108"/>
      <c r="J665" s="109"/>
      <c r="K665" s="110"/>
      <c r="L665" s="110"/>
      <c r="M665" s="110"/>
      <c r="N665" s="110"/>
      <c r="O665" s="110"/>
      <c r="R665" s="101"/>
      <c r="S665" s="101"/>
    </row>
    <row r="666">
      <c r="C666" s="90"/>
      <c r="D666" s="90"/>
      <c r="E666" s="67"/>
      <c r="F666" s="90"/>
      <c r="G666" s="107"/>
      <c r="H666" s="108"/>
      <c r="J666" s="109"/>
      <c r="K666" s="110"/>
      <c r="L666" s="110"/>
      <c r="M666" s="110"/>
      <c r="N666" s="110"/>
      <c r="O666" s="110"/>
      <c r="R666" s="101"/>
      <c r="S666" s="101"/>
    </row>
    <row r="667">
      <c r="C667" s="90"/>
      <c r="D667" s="90"/>
      <c r="E667" s="67"/>
      <c r="F667" s="90"/>
      <c r="G667" s="107"/>
      <c r="H667" s="108"/>
      <c r="J667" s="109"/>
      <c r="K667" s="110"/>
      <c r="L667" s="110"/>
      <c r="M667" s="110"/>
      <c r="N667" s="110"/>
      <c r="O667" s="110"/>
      <c r="R667" s="101"/>
      <c r="S667" s="101"/>
    </row>
    <row r="668">
      <c r="C668" s="90"/>
      <c r="D668" s="90"/>
      <c r="E668" s="67"/>
      <c r="F668" s="90"/>
      <c r="G668" s="107"/>
      <c r="H668" s="108"/>
      <c r="J668" s="109"/>
      <c r="K668" s="110"/>
      <c r="L668" s="110"/>
      <c r="M668" s="110"/>
      <c r="N668" s="110"/>
      <c r="O668" s="110"/>
      <c r="R668" s="101"/>
      <c r="S668" s="101"/>
    </row>
    <row r="669">
      <c r="C669" s="90"/>
      <c r="D669" s="90"/>
      <c r="E669" s="67"/>
      <c r="F669" s="90"/>
      <c r="G669" s="107"/>
      <c r="H669" s="108"/>
      <c r="J669" s="109"/>
      <c r="K669" s="110"/>
      <c r="L669" s="110"/>
      <c r="M669" s="110"/>
      <c r="N669" s="110"/>
      <c r="O669" s="110"/>
      <c r="R669" s="101"/>
      <c r="S669" s="101"/>
    </row>
    <row r="670">
      <c r="C670" s="90"/>
      <c r="D670" s="90"/>
      <c r="E670" s="67"/>
      <c r="F670" s="90"/>
      <c r="G670" s="107"/>
      <c r="H670" s="108"/>
      <c r="J670" s="109"/>
      <c r="K670" s="110"/>
      <c r="L670" s="110"/>
      <c r="M670" s="110"/>
      <c r="N670" s="110"/>
      <c r="O670" s="110"/>
      <c r="R670" s="101"/>
      <c r="S670" s="101"/>
    </row>
    <row r="671">
      <c r="C671" s="90"/>
      <c r="D671" s="90"/>
      <c r="E671" s="67"/>
      <c r="F671" s="90"/>
      <c r="G671" s="107"/>
      <c r="H671" s="108"/>
      <c r="J671" s="109"/>
      <c r="K671" s="110"/>
      <c r="L671" s="110"/>
      <c r="M671" s="110"/>
      <c r="N671" s="110"/>
      <c r="O671" s="110"/>
      <c r="R671" s="101"/>
      <c r="S671" s="101"/>
    </row>
    <row r="672">
      <c r="C672" s="90"/>
      <c r="D672" s="90"/>
      <c r="E672" s="67"/>
      <c r="F672" s="90"/>
      <c r="G672" s="107"/>
      <c r="H672" s="108"/>
      <c r="J672" s="109"/>
      <c r="K672" s="110"/>
      <c r="L672" s="110"/>
      <c r="M672" s="110"/>
      <c r="N672" s="110"/>
      <c r="O672" s="110"/>
      <c r="R672" s="101"/>
      <c r="S672" s="101"/>
    </row>
    <row r="673">
      <c r="C673" s="90"/>
      <c r="D673" s="90"/>
      <c r="E673" s="67"/>
      <c r="F673" s="90"/>
      <c r="G673" s="107"/>
      <c r="H673" s="108"/>
      <c r="J673" s="109"/>
      <c r="K673" s="110"/>
      <c r="L673" s="110"/>
      <c r="M673" s="110"/>
      <c r="N673" s="110"/>
      <c r="O673" s="110"/>
      <c r="R673" s="101"/>
      <c r="S673" s="101"/>
    </row>
    <row r="674">
      <c r="C674" s="90"/>
      <c r="D674" s="90"/>
      <c r="E674" s="67"/>
      <c r="F674" s="90"/>
      <c r="G674" s="107"/>
      <c r="H674" s="108"/>
      <c r="J674" s="109"/>
      <c r="K674" s="110"/>
      <c r="L674" s="110"/>
      <c r="M674" s="110"/>
      <c r="N674" s="110"/>
      <c r="O674" s="110"/>
      <c r="R674" s="101"/>
      <c r="S674" s="101"/>
    </row>
    <row r="675">
      <c r="C675" s="90"/>
      <c r="D675" s="90"/>
      <c r="E675" s="67"/>
      <c r="F675" s="90"/>
      <c r="G675" s="107"/>
      <c r="H675" s="108"/>
      <c r="J675" s="109"/>
      <c r="K675" s="110"/>
      <c r="L675" s="110"/>
      <c r="M675" s="110"/>
      <c r="N675" s="110"/>
      <c r="O675" s="110"/>
      <c r="R675" s="101"/>
      <c r="S675" s="101"/>
    </row>
    <row r="676">
      <c r="C676" s="90"/>
      <c r="D676" s="90"/>
      <c r="E676" s="67"/>
      <c r="F676" s="90"/>
      <c r="G676" s="107"/>
      <c r="H676" s="108"/>
      <c r="J676" s="109"/>
      <c r="K676" s="110"/>
      <c r="L676" s="110"/>
      <c r="M676" s="110"/>
      <c r="N676" s="110"/>
      <c r="O676" s="110"/>
      <c r="R676" s="101"/>
      <c r="S676" s="101"/>
    </row>
    <row r="677">
      <c r="C677" s="90"/>
      <c r="D677" s="90"/>
      <c r="E677" s="67"/>
      <c r="F677" s="90"/>
      <c r="G677" s="107"/>
      <c r="H677" s="108"/>
      <c r="J677" s="109"/>
      <c r="K677" s="110"/>
      <c r="L677" s="110"/>
      <c r="M677" s="110"/>
      <c r="N677" s="110"/>
      <c r="O677" s="110"/>
      <c r="R677" s="101"/>
      <c r="S677" s="101"/>
    </row>
    <row r="678">
      <c r="C678" s="90"/>
      <c r="D678" s="90"/>
      <c r="E678" s="67"/>
      <c r="F678" s="90"/>
      <c r="G678" s="107"/>
      <c r="H678" s="108"/>
      <c r="J678" s="109"/>
      <c r="K678" s="110"/>
      <c r="L678" s="110"/>
      <c r="M678" s="110"/>
      <c r="N678" s="110"/>
      <c r="O678" s="110"/>
      <c r="R678" s="101"/>
      <c r="S678" s="101"/>
    </row>
    <row r="679">
      <c r="C679" s="90"/>
      <c r="D679" s="90"/>
      <c r="E679" s="67"/>
      <c r="F679" s="90"/>
      <c r="G679" s="107"/>
      <c r="H679" s="108"/>
      <c r="J679" s="109"/>
      <c r="K679" s="110"/>
      <c r="L679" s="110"/>
      <c r="M679" s="110"/>
      <c r="N679" s="110"/>
      <c r="O679" s="110"/>
      <c r="R679" s="101"/>
      <c r="S679" s="101"/>
    </row>
    <row r="680">
      <c r="C680" s="90"/>
      <c r="D680" s="90"/>
      <c r="E680" s="67"/>
      <c r="F680" s="90"/>
      <c r="G680" s="107"/>
      <c r="H680" s="108"/>
      <c r="J680" s="109"/>
      <c r="K680" s="110"/>
      <c r="L680" s="110"/>
      <c r="M680" s="110"/>
      <c r="N680" s="110"/>
      <c r="O680" s="110"/>
      <c r="R680" s="101"/>
      <c r="S680" s="101"/>
    </row>
    <row r="681">
      <c r="C681" s="90"/>
      <c r="D681" s="90"/>
      <c r="E681" s="67"/>
      <c r="F681" s="90"/>
      <c r="G681" s="107"/>
      <c r="H681" s="108"/>
      <c r="J681" s="109"/>
      <c r="K681" s="110"/>
      <c r="L681" s="110"/>
      <c r="M681" s="110"/>
      <c r="N681" s="110"/>
      <c r="O681" s="110"/>
      <c r="R681" s="101"/>
      <c r="S681" s="101"/>
    </row>
    <row r="682">
      <c r="C682" s="90"/>
      <c r="D682" s="90"/>
      <c r="E682" s="67"/>
      <c r="F682" s="90"/>
      <c r="G682" s="107"/>
      <c r="H682" s="108"/>
      <c r="J682" s="109"/>
      <c r="K682" s="110"/>
      <c r="L682" s="110"/>
      <c r="M682" s="110"/>
      <c r="N682" s="110"/>
      <c r="O682" s="110"/>
      <c r="R682" s="101"/>
      <c r="S682" s="101"/>
    </row>
    <row r="683">
      <c r="C683" s="90"/>
      <c r="D683" s="90"/>
      <c r="E683" s="67"/>
      <c r="F683" s="90"/>
      <c r="G683" s="107"/>
      <c r="H683" s="108"/>
      <c r="J683" s="109"/>
      <c r="K683" s="110"/>
      <c r="L683" s="110"/>
      <c r="M683" s="110"/>
      <c r="N683" s="110"/>
      <c r="O683" s="110"/>
      <c r="R683" s="101"/>
      <c r="S683" s="101"/>
    </row>
    <row r="684">
      <c r="C684" s="90"/>
      <c r="D684" s="90"/>
      <c r="E684" s="67"/>
      <c r="F684" s="90"/>
      <c r="G684" s="107"/>
      <c r="H684" s="108"/>
      <c r="J684" s="109"/>
      <c r="K684" s="110"/>
      <c r="L684" s="110"/>
      <c r="M684" s="110"/>
      <c r="N684" s="110"/>
      <c r="O684" s="110"/>
      <c r="R684" s="101"/>
      <c r="S684" s="101"/>
    </row>
    <row r="685">
      <c r="C685" s="90"/>
      <c r="D685" s="90"/>
      <c r="E685" s="67"/>
      <c r="F685" s="90"/>
      <c r="G685" s="107"/>
      <c r="H685" s="108"/>
      <c r="J685" s="109"/>
      <c r="K685" s="110"/>
      <c r="L685" s="110"/>
      <c r="M685" s="110"/>
      <c r="N685" s="110"/>
      <c r="O685" s="110"/>
      <c r="R685" s="101"/>
      <c r="S685" s="101"/>
    </row>
    <row r="686">
      <c r="C686" s="90"/>
      <c r="D686" s="90"/>
      <c r="E686" s="67"/>
      <c r="F686" s="90"/>
      <c r="G686" s="107"/>
      <c r="H686" s="108"/>
      <c r="J686" s="109"/>
      <c r="K686" s="110"/>
      <c r="L686" s="110"/>
      <c r="M686" s="110"/>
      <c r="N686" s="110"/>
      <c r="O686" s="110"/>
      <c r="R686" s="101"/>
      <c r="S686" s="101"/>
    </row>
    <row r="687">
      <c r="C687" s="90"/>
      <c r="D687" s="90"/>
      <c r="E687" s="67"/>
      <c r="F687" s="90"/>
      <c r="G687" s="107"/>
      <c r="H687" s="108"/>
      <c r="J687" s="109"/>
      <c r="K687" s="110"/>
      <c r="L687" s="110"/>
      <c r="M687" s="110"/>
      <c r="N687" s="110"/>
      <c r="O687" s="110"/>
      <c r="R687" s="101"/>
      <c r="S687" s="101"/>
    </row>
    <row r="688">
      <c r="C688" s="90"/>
      <c r="D688" s="90"/>
      <c r="E688" s="67"/>
      <c r="F688" s="90"/>
      <c r="G688" s="107"/>
      <c r="H688" s="108"/>
      <c r="J688" s="109"/>
      <c r="K688" s="110"/>
      <c r="L688" s="110"/>
      <c r="M688" s="110"/>
      <c r="N688" s="110"/>
      <c r="O688" s="110"/>
      <c r="R688" s="101"/>
      <c r="S688" s="101"/>
    </row>
    <row r="689">
      <c r="C689" s="90"/>
      <c r="D689" s="90"/>
      <c r="E689" s="67"/>
      <c r="F689" s="90"/>
      <c r="G689" s="107"/>
      <c r="H689" s="108"/>
      <c r="J689" s="109"/>
      <c r="K689" s="110"/>
      <c r="L689" s="110"/>
      <c r="M689" s="110"/>
      <c r="N689" s="110"/>
      <c r="O689" s="110"/>
      <c r="R689" s="101"/>
      <c r="S689" s="101"/>
    </row>
    <row r="690">
      <c r="C690" s="90"/>
      <c r="D690" s="90"/>
      <c r="E690" s="67"/>
      <c r="F690" s="90"/>
      <c r="G690" s="107"/>
      <c r="H690" s="108"/>
      <c r="J690" s="109"/>
      <c r="K690" s="110"/>
      <c r="L690" s="110"/>
      <c r="M690" s="110"/>
      <c r="N690" s="110"/>
      <c r="O690" s="110"/>
      <c r="R690" s="101"/>
      <c r="S690" s="101"/>
    </row>
    <row r="691">
      <c r="C691" s="90"/>
      <c r="D691" s="90"/>
      <c r="E691" s="67"/>
      <c r="F691" s="90"/>
      <c r="G691" s="107"/>
      <c r="H691" s="108"/>
      <c r="J691" s="109"/>
      <c r="K691" s="110"/>
      <c r="L691" s="110"/>
      <c r="M691" s="110"/>
      <c r="N691" s="110"/>
      <c r="O691" s="110"/>
      <c r="R691" s="101"/>
      <c r="S691" s="101"/>
    </row>
    <row r="692">
      <c r="C692" s="90"/>
      <c r="D692" s="90"/>
      <c r="E692" s="67"/>
      <c r="F692" s="90"/>
      <c r="G692" s="107"/>
      <c r="H692" s="108"/>
      <c r="J692" s="109"/>
      <c r="K692" s="110"/>
      <c r="L692" s="110"/>
      <c r="M692" s="110"/>
      <c r="N692" s="110"/>
      <c r="O692" s="110"/>
      <c r="R692" s="101"/>
      <c r="S692" s="101"/>
    </row>
    <row r="693">
      <c r="C693" s="90"/>
      <c r="D693" s="90"/>
      <c r="E693" s="67"/>
      <c r="F693" s="90"/>
      <c r="G693" s="107"/>
      <c r="H693" s="108"/>
      <c r="J693" s="109"/>
      <c r="K693" s="110"/>
      <c r="L693" s="110"/>
      <c r="M693" s="110"/>
      <c r="N693" s="110"/>
      <c r="O693" s="110"/>
      <c r="R693" s="101"/>
      <c r="S693" s="101"/>
    </row>
    <row r="694">
      <c r="C694" s="90"/>
      <c r="D694" s="90"/>
      <c r="E694" s="67"/>
      <c r="F694" s="90"/>
      <c r="G694" s="107"/>
      <c r="H694" s="108"/>
      <c r="J694" s="109"/>
      <c r="K694" s="110"/>
      <c r="L694" s="110"/>
      <c r="M694" s="110"/>
      <c r="N694" s="110"/>
      <c r="O694" s="110"/>
      <c r="R694" s="101"/>
      <c r="S694" s="101"/>
    </row>
    <row r="695">
      <c r="C695" s="90"/>
      <c r="D695" s="90"/>
      <c r="E695" s="67"/>
      <c r="F695" s="90"/>
      <c r="G695" s="107"/>
      <c r="H695" s="108"/>
      <c r="J695" s="109"/>
      <c r="K695" s="110"/>
      <c r="L695" s="110"/>
      <c r="M695" s="110"/>
      <c r="N695" s="110"/>
      <c r="O695" s="110"/>
      <c r="R695" s="101"/>
      <c r="S695" s="101"/>
    </row>
    <row r="696">
      <c r="C696" s="90"/>
      <c r="D696" s="90"/>
      <c r="E696" s="67"/>
      <c r="F696" s="90"/>
      <c r="G696" s="107"/>
      <c r="H696" s="108"/>
      <c r="J696" s="109"/>
      <c r="K696" s="110"/>
      <c r="L696" s="110"/>
      <c r="M696" s="110"/>
      <c r="N696" s="110"/>
      <c r="O696" s="110"/>
      <c r="R696" s="101"/>
      <c r="S696" s="101"/>
    </row>
    <row r="697">
      <c r="C697" s="90"/>
      <c r="D697" s="90"/>
      <c r="E697" s="67"/>
      <c r="F697" s="90"/>
      <c r="G697" s="107"/>
      <c r="H697" s="108"/>
      <c r="J697" s="109"/>
      <c r="K697" s="110"/>
      <c r="L697" s="110"/>
      <c r="M697" s="110"/>
      <c r="N697" s="110"/>
      <c r="O697" s="110"/>
      <c r="R697" s="101"/>
      <c r="S697" s="101"/>
    </row>
    <row r="698">
      <c r="C698" s="90"/>
      <c r="D698" s="90"/>
      <c r="E698" s="67"/>
      <c r="F698" s="90"/>
      <c r="G698" s="107"/>
      <c r="H698" s="108"/>
      <c r="J698" s="109"/>
      <c r="K698" s="110"/>
      <c r="L698" s="110"/>
      <c r="M698" s="110"/>
      <c r="N698" s="110"/>
      <c r="O698" s="110"/>
      <c r="R698" s="101"/>
      <c r="S698" s="101"/>
    </row>
    <row r="699">
      <c r="C699" s="90"/>
      <c r="D699" s="90"/>
      <c r="E699" s="67"/>
      <c r="F699" s="90"/>
      <c r="G699" s="107"/>
      <c r="H699" s="108"/>
      <c r="J699" s="109"/>
      <c r="K699" s="110"/>
      <c r="L699" s="110"/>
      <c r="M699" s="110"/>
      <c r="N699" s="110"/>
      <c r="O699" s="110"/>
      <c r="R699" s="101"/>
      <c r="S699" s="101"/>
    </row>
    <row r="700">
      <c r="C700" s="90"/>
      <c r="D700" s="90"/>
      <c r="E700" s="67"/>
      <c r="F700" s="90"/>
      <c r="G700" s="107"/>
      <c r="H700" s="108"/>
      <c r="J700" s="109"/>
      <c r="K700" s="110"/>
      <c r="L700" s="110"/>
      <c r="M700" s="110"/>
      <c r="N700" s="110"/>
      <c r="O700" s="110"/>
      <c r="R700" s="101"/>
      <c r="S700" s="101"/>
    </row>
    <row r="701">
      <c r="C701" s="90"/>
      <c r="D701" s="90"/>
      <c r="E701" s="67"/>
      <c r="F701" s="90"/>
      <c r="G701" s="107"/>
      <c r="H701" s="108"/>
      <c r="J701" s="109"/>
      <c r="K701" s="110"/>
      <c r="L701" s="110"/>
      <c r="M701" s="110"/>
      <c r="N701" s="110"/>
      <c r="O701" s="110"/>
      <c r="R701" s="101"/>
      <c r="S701" s="101"/>
    </row>
    <row r="702">
      <c r="C702" s="90"/>
      <c r="D702" s="90"/>
      <c r="E702" s="67"/>
      <c r="F702" s="90"/>
      <c r="G702" s="107"/>
      <c r="H702" s="108"/>
      <c r="J702" s="109"/>
      <c r="K702" s="110"/>
      <c r="L702" s="110"/>
      <c r="M702" s="110"/>
      <c r="N702" s="110"/>
      <c r="O702" s="110"/>
      <c r="R702" s="101"/>
      <c r="S702" s="101"/>
    </row>
    <row r="703">
      <c r="C703" s="90"/>
      <c r="D703" s="90"/>
      <c r="E703" s="67"/>
      <c r="F703" s="90"/>
      <c r="G703" s="107"/>
      <c r="H703" s="108"/>
      <c r="J703" s="109"/>
      <c r="K703" s="110"/>
      <c r="L703" s="110"/>
      <c r="M703" s="110"/>
      <c r="N703" s="110"/>
      <c r="O703" s="110"/>
      <c r="R703" s="101"/>
      <c r="S703" s="101"/>
    </row>
    <row r="704">
      <c r="C704" s="90"/>
      <c r="D704" s="90"/>
      <c r="E704" s="67"/>
      <c r="F704" s="90"/>
      <c r="G704" s="107"/>
      <c r="H704" s="108"/>
      <c r="J704" s="109"/>
      <c r="K704" s="110"/>
      <c r="L704" s="110"/>
      <c r="M704" s="110"/>
      <c r="N704" s="110"/>
      <c r="O704" s="110"/>
      <c r="R704" s="101"/>
      <c r="S704" s="101"/>
    </row>
    <row r="705">
      <c r="C705" s="90"/>
      <c r="D705" s="90"/>
      <c r="E705" s="67"/>
      <c r="F705" s="90"/>
      <c r="G705" s="107"/>
      <c r="H705" s="108"/>
      <c r="J705" s="109"/>
      <c r="K705" s="110"/>
      <c r="L705" s="110"/>
      <c r="M705" s="110"/>
      <c r="N705" s="110"/>
      <c r="O705" s="110"/>
      <c r="R705" s="101"/>
      <c r="S705" s="101"/>
    </row>
    <row r="706">
      <c r="C706" s="90"/>
      <c r="D706" s="90"/>
      <c r="E706" s="67"/>
      <c r="F706" s="90"/>
      <c r="G706" s="107"/>
      <c r="H706" s="108"/>
      <c r="J706" s="109"/>
      <c r="K706" s="110"/>
      <c r="L706" s="110"/>
      <c r="M706" s="110"/>
      <c r="N706" s="110"/>
      <c r="O706" s="110"/>
      <c r="R706" s="101"/>
      <c r="S706" s="101"/>
    </row>
    <row r="707">
      <c r="C707" s="90"/>
      <c r="D707" s="90"/>
      <c r="E707" s="67"/>
      <c r="F707" s="90"/>
      <c r="G707" s="107"/>
      <c r="H707" s="108"/>
      <c r="J707" s="109"/>
      <c r="K707" s="110"/>
      <c r="L707" s="110"/>
      <c r="M707" s="110"/>
      <c r="N707" s="110"/>
      <c r="O707" s="110"/>
      <c r="R707" s="101"/>
      <c r="S707" s="101"/>
    </row>
    <row r="708">
      <c r="C708" s="90"/>
      <c r="D708" s="90"/>
      <c r="E708" s="67"/>
      <c r="F708" s="90"/>
      <c r="G708" s="107"/>
      <c r="H708" s="108"/>
      <c r="J708" s="109"/>
      <c r="K708" s="110"/>
      <c r="L708" s="110"/>
      <c r="M708" s="110"/>
      <c r="N708" s="110"/>
      <c r="O708" s="110"/>
      <c r="R708" s="101"/>
      <c r="S708" s="101"/>
    </row>
    <row r="709">
      <c r="C709" s="90"/>
      <c r="D709" s="90"/>
      <c r="E709" s="67"/>
      <c r="F709" s="90"/>
      <c r="G709" s="107"/>
      <c r="H709" s="108"/>
      <c r="J709" s="109"/>
      <c r="K709" s="110"/>
      <c r="L709" s="110"/>
      <c r="M709" s="110"/>
      <c r="N709" s="110"/>
      <c r="O709" s="110"/>
      <c r="R709" s="101"/>
      <c r="S709" s="101"/>
    </row>
    <row r="710">
      <c r="C710" s="90"/>
      <c r="D710" s="90"/>
      <c r="E710" s="67"/>
      <c r="F710" s="90"/>
      <c r="G710" s="107"/>
      <c r="H710" s="108"/>
      <c r="J710" s="109"/>
      <c r="K710" s="110"/>
      <c r="L710" s="110"/>
      <c r="M710" s="110"/>
      <c r="N710" s="110"/>
      <c r="O710" s="110"/>
      <c r="R710" s="101"/>
      <c r="S710" s="101"/>
    </row>
    <row r="711">
      <c r="C711" s="90"/>
      <c r="D711" s="90"/>
      <c r="E711" s="67"/>
      <c r="F711" s="90"/>
      <c r="G711" s="107"/>
      <c r="H711" s="108"/>
      <c r="J711" s="109"/>
      <c r="K711" s="110"/>
      <c r="L711" s="110"/>
      <c r="M711" s="110"/>
      <c r="N711" s="110"/>
      <c r="O711" s="110"/>
      <c r="R711" s="101"/>
      <c r="S711" s="101"/>
    </row>
    <row r="712">
      <c r="C712" s="90"/>
      <c r="D712" s="90"/>
      <c r="E712" s="67"/>
      <c r="F712" s="90"/>
      <c r="G712" s="107"/>
      <c r="H712" s="108"/>
      <c r="J712" s="109"/>
      <c r="K712" s="110"/>
      <c r="L712" s="110"/>
      <c r="M712" s="110"/>
      <c r="N712" s="110"/>
      <c r="O712" s="110"/>
      <c r="R712" s="101"/>
      <c r="S712" s="101"/>
    </row>
    <row r="713">
      <c r="C713" s="90"/>
      <c r="D713" s="90"/>
      <c r="E713" s="67"/>
      <c r="F713" s="90"/>
      <c r="G713" s="107"/>
      <c r="H713" s="108"/>
      <c r="J713" s="109"/>
      <c r="K713" s="110"/>
      <c r="L713" s="110"/>
      <c r="M713" s="110"/>
      <c r="N713" s="110"/>
      <c r="O713" s="110"/>
      <c r="R713" s="101"/>
      <c r="S713" s="101"/>
    </row>
    <row r="714">
      <c r="C714" s="90"/>
      <c r="D714" s="90"/>
      <c r="E714" s="67"/>
      <c r="F714" s="90"/>
      <c r="G714" s="107"/>
      <c r="H714" s="108"/>
      <c r="J714" s="109"/>
      <c r="K714" s="110"/>
      <c r="L714" s="110"/>
      <c r="M714" s="110"/>
      <c r="N714" s="110"/>
      <c r="O714" s="110"/>
      <c r="R714" s="101"/>
      <c r="S714" s="101"/>
    </row>
    <row r="715">
      <c r="C715" s="90"/>
      <c r="D715" s="90"/>
      <c r="E715" s="67"/>
      <c r="F715" s="90"/>
      <c r="G715" s="107"/>
      <c r="H715" s="108"/>
      <c r="J715" s="109"/>
      <c r="K715" s="110"/>
      <c r="L715" s="110"/>
      <c r="M715" s="110"/>
      <c r="N715" s="110"/>
      <c r="O715" s="110"/>
      <c r="R715" s="101"/>
      <c r="S715" s="101"/>
    </row>
    <row r="716">
      <c r="C716" s="90"/>
      <c r="D716" s="90"/>
      <c r="E716" s="67"/>
      <c r="F716" s="90"/>
      <c r="G716" s="107"/>
      <c r="H716" s="108"/>
      <c r="J716" s="109"/>
      <c r="K716" s="110"/>
      <c r="L716" s="110"/>
      <c r="M716" s="110"/>
      <c r="N716" s="110"/>
      <c r="O716" s="110"/>
      <c r="R716" s="101"/>
      <c r="S716" s="101"/>
    </row>
    <row r="717">
      <c r="C717" s="90"/>
      <c r="D717" s="90"/>
      <c r="E717" s="67"/>
      <c r="F717" s="90"/>
      <c r="G717" s="107"/>
      <c r="H717" s="108"/>
      <c r="J717" s="109"/>
      <c r="K717" s="110"/>
      <c r="L717" s="110"/>
      <c r="M717" s="110"/>
      <c r="N717" s="110"/>
      <c r="O717" s="110"/>
      <c r="R717" s="101"/>
      <c r="S717" s="101"/>
    </row>
    <row r="718">
      <c r="C718" s="90"/>
      <c r="D718" s="90"/>
      <c r="E718" s="67"/>
      <c r="F718" s="90"/>
      <c r="G718" s="107"/>
      <c r="H718" s="108"/>
      <c r="J718" s="109"/>
      <c r="K718" s="110"/>
      <c r="L718" s="110"/>
      <c r="M718" s="110"/>
      <c r="N718" s="110"/>
      <c r="O718" s="110"/>
      <c r="R718" s="101"/>
      <c r="S718" s="101"/>
    </row>
    <row r="719">
      <c r="C719" s="90"/>
      <c r="D719" s="90"/>
      <c r="E719" s="67"/>
      <c r="F719" s="90"/>
      <c r="G719" s="107"/>
      <c r="H719" s="108"/>
      <c r="J719" s="109"/>
      <c r="K719" s="110"/>
      <c r="L719" s="110"/>
      <c r="M719" s="110"/>
      <c r="N719" s="110"/>
      <c r="O719" s="110"/>
      <c r="R719" s="101"/>
      <c r="S719" s="101"/>
    </row>
    <row r="720">
      <c r="C720" s="90"/>
      <c r="D720" s="90"/>
      <c r="E720" s="67"/>
      <c r="F720" s="90"/>
      <c r="G720" s="107"/>
      <c r="H720" s="108"/>
      <c r="J720" s="109"/>
      <c r="K720" s="110"/>
      <c r="L720" s="110"/>
      <c r="M720" s="110"/>
      <c r="N720" s="110"/>
      <c r="O720" s="110"/>
      <c r="R720" s="101"/>
      <c r="S720" s="101"/>
    </row>
    <row r="721">
      <c r="C721" s="90"/>
      <c r="D721" s="90"/>
      <c r="E721" s="67"/>
      <c r="F721" s="90"/>
      <c r="G721" s="107"/>
      <c r="H721" s="108"/>
      <c r="J721" s="109"/>
      <c r="K721" s="110"/>
      <c r="L721" s="110"/>
      <c r="M721" s="110"/>
      <c r="N721" s="110"/>
      <c r="O721" s="110"/>
      <c r="R721" s="101"/>
      <c r="S721" s="101"/>
    </row>
    <row r="722">
      <c r="C722" s="90"/>
      <c r="D722" s="90"/>
      <c r="E722" s="67"/>
      <c r="F722" s="90"/>
      <c r="G722" s="107"/>
      <c r="H722" s="108"/>
      <c r="J722" s="109"/>
      <c r="K722" s="110"/>
      <c r="L722" s="110"/>
      <c r="M722" s="110"/>
      <c r="N722" s="110"/>
      <c r="O722" s="110"/>
      <c r="R722" s="101"/>
      <c r="S722" s="101"/>
    </row>
    <row r="723">
      <c r="C723" s="90"/>
      <c r="D723" s="90"/>
      <c r="E723" s="67"/>
      <c r="F723" s="90"/>
      <c r="G723" s="107"/>
      <c r="H723" s="108"/>
      <c r="J723" s="109"/>
      <c r="K723" s="110"/>
      <c r="L723" s="110"/>
      <c r="M723" s="110"/>
      <c r="N723" s="110"/>
      <c r="O723" s="110"/>
      <c r="R723" s="101"/>
      <c r="S723" s="101"/>
    </row>
    <row r="724">
      <c r="C724" s="90"/>
      <c r="D724" s="90"/>
      <c r="E724" s="67"/>
      <c r="F724" s="90"/>
      <c r="G724" s="107"/>
      <c r="H724" s="108"/>
      <c r="J724" s="109"/>
      <c r="K724" s="110"/>
      <c r="L724" s="110"/>
      <c r="M724" s="110"/>
      <c r="N724" s="110"/>
      <c r="O724" s="110"/>
      <c r="R724" s="101"/>
      <c r="S724" s="101"/>
    </row>
    <row r="725">
      <c r="C725" s="90"/>
      <c r="D725" s="90"/>
      <c r="E725" s="67"/>
      <c r="F725" s="90"/>
      <c r="G725" s="107"/>
      <c r="H725" s="108"/>
      <c r="J725" s="109"/>
      <c r="K725" s="110"/>
      <c r="L725" s="110"/>
      <c r="M725" s="110"/>
      <c r="N725" s="110"/>
      <c r="O725" s="110"/>
      <c r="R725" s="101"/>
      <c r="S725" s="101"/>
    </row>
    <row r="726">
      <c r="C726" s="90"/>
      <c r="D726" s="90"/>
      <c r="E726" s="67"/>
      <c r="F726" s="90"/>
      <c r="G726" s="107"/>
      <c r="H726" s="108"/>
      <c r="J726" s="109"/>
      <c r="K726" s="110"/>
      <c r="L726" s="110"/>
      <c r="M726" s="110"/>
      <c r="N726" s="110"/>
      <c r="O726" s="110"/>
      <c r="R726" s="101"/>
      <c r="S726" s="101"/>
    </row>
    <row r="727">
      <c r="C727" s="90"/>
      <c r="D727" s="90"/>
      <c r="E727" s="67"/>
      <c r="F727" s="90"/>
      <c r="G727" s="107"/>
      <c r="H727" s="108"/>
      <c r="J727" s="109"/>
      <c r="K727" s="110"/>
      <c r="L727" s="110"/>
      <c r="M727" s="110"/>
      <c r="N727" s="110"/>
      <c r="O727" s="110"/>
      <c r="R727" s="101"/>
      <c r="S727" s="101"/>
    </row>
    <row r="728">
      <c r="C728" s="90"/>
      <c r="D728" s="90"/>
      <c r="E728" s="67"/>
      <c r="F728" s="90"/>
      <c r="G728" s="107"/>
      <c r="H728" s="108"/>
      <c r="J728" s="109"/>
      <c r="K728" s="110"/>
      <c r="L728" s="110"/>
      <c r="M728" s="110"/>
      <c r="N728" s="110"/>
      <c r="O728" s="110"/>
      <c r="R728" s="101"/>
      <c r="S728" s="101"/>
    </row>
    <row r="729">
      <c r="C729" s="90"/>
      <c r="D729" s="90"/>
      <c r="E729" s="67"/>
      <c r="F729" s="90"/>
      <c r="G729" s="107"/>
      <c r="H729" s="108"/>
      <c r="J729" s="109"/>
      <c r="K729" s="110"/>
      <c r="L729" s="110"/>
      <c r="M729" s="110"/>
      <c r="N729" s="110"/>
      <c r="O729" s="110"/>
      <c r="R729" s="101"/>
      <c r="S729" s="101"/>
    </row>
    <row r="730">
      <c r="C730" s="90"/>
      <c r="D730" s="90"/>
      <c r="E730" s="67"/>
      <c r="F730" s="90"/>
      <c r="G730" s="107"/>
      <c r="H730" s="108"/>
      <c r="J730" s="109"/>
      <c r="K730" s="110"/>
      <c r="L730" s="110"/>
      <c r="M730" s="110"/>
      <c r="N730" s="110"/>
      <c r="O730" s="110"/>
      <c r="R730" s="101"/>
      <c r="S730" s="101"/>
    </row>
    <row r="731">
      <c r="C731" s="90"/>
      <c r="D731" s="90"/>
      <c r="E731" s="67"/>
      <c r="F731" s="90"/>
      <c r="G731" s="107"/>
      <c r="H731" s="108"/>
      <c r="J731" s="109"/>
      <c r="K731" s="110"/>
      <c r="L731" s="110"/>
      <c r="M731" s="110"/>
      <c r="N731" s="110"/>
      <c r="O731" s="110"/>
      <c r="R731" s="101"/>
      <c r="S731" s="101"/>
    </row>
    <row r="732">
      <c r="C732" s="90"/>
      <c r="D732" s="90"/>
      <c r="E732" s="67"/>
      <c r="F732" s="90"/>
      <c r="G732" s="107"/>
      <c r="H732" s="108"/>
      <c r="J732" s="109"/>
      <c r="K732" s="110"/>
      <c r="L732" s="110"/>
      <c r="M732" s="110"/>
      <c r="N732" s="110"/>
      <c r="O732" s="110"/>
      <c r="R732" s="101"/>
      <c r="S732" s="101"/>
    </row>
    <row r="733">
      <c r="C733" s="90"/>
      <c r="D733" s="90"/>
      <c r="E733" s="67"/>
      <c r="F733" s="90"/>
      <c r="G733" s="107"/>
      <c r="H733" s="108"/>
      <c r="J733" s="109"/>
      <c r="K733" s="110"/>
      <c r="L733" s="110"/>
      <c r="M733" s="110"/>
      <c r="N733" s="110"/>
      <c r="O733" s="110"/>
      <c r="R733" s="101"/>
      <c r="S733" s="101"/>
    </row>
    <row r="734">
      <c r="C734" s="90"/>
      <c r="D734" s="90"/>
      <c r="E734" s="67"/>
      <c r="F734" s="90"/>
      <c r="G734" s="107"/>
      <c r="H734" s="108"/>
      <c r="J734" s="109"/>
      <c r="K734" s="110"/>
      <c r="L734" s="110"/>
      <c r="M734" s="110"/>
      <c r="N734" s="110"/>
      <c r="O734" s="110"/>
      <c r="R734" s="101"/>
      <c r="S734" s="101"/>
    </row>
    <row r="735">
      <c r="C735" s="90"/>
      <c r="D735" s="90"/>
      <c r="E735" s="67"/>
      <c r="F735" s="90"/>
      <c r="G735" s="107"/>
      <c r="H735" s="108"/>
      <c r="J735" s="109"/>
      <c r="K735" s="110"/>
      <c r="L735" s="110"/>
      <c r="M735" s="110"/>
      <c r="N735" s="110"/>
      <c r="O735" s="110"/>
      <c r="R735" s="101"/>
      <c r="S735" s="101"/>
    </row>
    <row r="736">
      <c r="C736" s="90"/>
      <c r="D736" s="90"/>
      <c r="E736" s="67"/>
      <c r="F736" s="90"/>
      <c r="G736" s="107"/>
      <c r="H736" s="108"/>
      <c r="J736" s="109"/>
      <c r="K736" s="110"/>
      <c r="L736" s="110"/>
      <c r="M736" s="110"/>
      <c r="N736" s="110"/>
      <c r="O736" s="110"/>
      <c r="R736" s="101"/>
      <c r="S736" s="101"/>
    </row>
    <row r="737">
      <c r="C737" s="90"/>
      <c r="D737" s="90"/>
      <c r="E737" s="67"/>
      <c r="F737" s="90"/>
      <c r="G737" s="107"/>
      <c r="H737" s="108"/>
      <c r="J737" s="109"/>
      <c r="K737" s="110"/>
      <c r="L737" s="110"/>
      <c r="M737" s="110"/>
      <c r="N737" s="110"/>
      <c r="O737" s="110"/>
      <c r="R737" s="101"/>
      <c r="S737" s="101"/>
    </row>
    <row r="738">
      <c r="C738" s="90"/>
      <c r="D738" s="90"/>
      <c r="E738" s="67"/>
      <c r="F738" s="90"/>
      <c r="G738" s="107"/>
      <c r="H738" s="108"/>
      <c r="J738" s="109"/>
      <c r="K738" s="110"/>
      <c r="L738" s="110"/>
      <c r="M738" s="110"/>
      <c r="N738" s="110"/>
      <c r="O738" s="110"/>
      <c r="R738" s="101"/>
      <c r="S738" s="101"/>
    </row>
    <row r="739">
      <c r="C739" s="90"/>
      <c r="D739" s="90"/>
      <c r="E739" s="67"/>
      <c r="F739" s="90"/>
      <c r="G739" s="107"/>
      <c r="H739" s="108"/>
      <c r="J739" s="109"/>
      <c r="K739" s="110"/>
      <c r="L739" s="110"/>
      <c r="M739" s="110"/>
      <c r="N739" s="110"/>
      <c r="O739" s="110"/>
      <c r="R739" s="101"/>
      <c r="S739" s="101"/>
    </row>
    <row r="740">
      <c r="C740" s="90"/>
      <c r="D740" s="90"/>
      <c r="E740" s="67"/>
      <c r="F740" s="90"/>
      <c r="G740" s="107"/>
      <c r="H740" s="108"/>
      <c r="J740" s="109"/>
      <c r="K740" s="110"/>
      <c r="L740" s="110"/>
      <c r="M740" s="110"/>
      <c r="N740" s="110"/>
      <c r="O740" s="110"/>
      <c r="R740" s="101"/>
      <c r="S740" s="101"/>
    </row>
    <row r="741">
      <c r="C741" s="90"/>
      <c r="D741" s="90"/>
      <c r="E741" s="67"/>
      <c r="F741" s="90"/>
      <c r="G741" s="107"/>
      <c r="H741" s="108"/>
      <c r="J741" s="109"/>
      <c r="K741" s="110"/>
      <c r="L741" s="110"/>
      <c r="M741" s="110"/>
      <c r="N741" s="110"/>
      <c r="O741" s="110"/>
      <c r="R741" s="101"/>
      <c r="S741" s="101"/>
    </row>
    <row r="742">
      <c r="C742" s="90"/>
      <c r="D742" s="90"/>
      <c r="E742" s="67"/>
      <c r="F742" s="90"/>
      <c r="G742" s="107"/>
      <c r="H742" s="108"/>
      <c r="J742" s="109"/>
      <c r="K742" s="110"/>
      <c r="L742" s="110"/>
      <c r="M742" s="110"/>
      <c r="N742" s="110"/>
      <c r="O742" s="110"/>
      <c r="R742" s="101"/>
      <c r="S742" s="101"/>
    </row>
    <row r="743">
      <c r="C743" s="90"/>
      <c r="D743" s="90"/>
      <c r="E743" s="67"/>
      <c r="F743" s="90"/>
      <c r="G743" s="107"/>
      <c r="H743" s="108"/>
      <c r="J743" s="109"/>
      <c r="K743" s="110"/>
      <c r="L743" s="110"/>
      <c r="M743" s="110"/>
      <c r="N743" s="110"/>
      <c r="O743" s="110"/>
      <c r="R743" s="101"/>
      <c r="S743" s="101"/>
    </row>
    <row r="744">
      <c r="C744" s="90"/>
      <c r="D744" s="90"/>
      <c r="E744" s="67"/>
      <c r="F744" s="90"/>
      <c r="G744" s="107"/>
      <c r="H744" s="108"/>
      <c r="J744" s="109"/>
      <c r="K744" s="110"/>
      <c r="L744" s="110"/>
      <c r="M744" s="110"/>
      <c r="N744" s="110"/>
      <c r="O744" s="110"/>
      <c r="R744" s="101"/>
      <c r="S744" s="101"/>
    </row>
    <row r="745">
      <c r="C745" s="90"/>
      <c r="D745" s="90"/>
      <c r="E745" s="67"/>
      <c r="F745" s="90"/>
      <c r="G745" s="107"/>
      <c r="H745" s="108"/>
      <c r="J745" s="109"/>
      <c r="K745" s="110"/>
      <c r="L745" s="110"/>
      <c r="M745" s="110"/>
      <c r="N745" s="110"/>
      <c r="O745" s="110"/>
      <c r="R745" s="101"/>
      <c r="S745" s="101"/>
    </row>
    <row r="746">
      <c r="C746" s="90"/>
      <c r="D746" s="90"/>
      <c r="E746" s="67"/>
      <c r="F746" s="90"/>
      <c r="G746" s="107"/>
      <c r="H746" s="108"/>
      <c r="J746" s="109"/>
      <c r="K746" s="110"/>
      <c r="L746" s="110"/>
      <c r="M746" s="110"/>
      <c r="N746" s="110"/>
      <c r="O746" s="110"/>
      <c r="R746" s="101"/>
      <c r="S746" s="101"/>
    </row>
    <row r="747">
      <c r="C747" s="90"/>
      <c r="D747" s="90"/>
      <c r="E747" s="67"/>
      <c r="F747" s="90"/>
      <c r="G747" s="107"/>
      <c r="H747" s="108"/>
      <c r="J747" s="109"/>
      <c r="K747" s="110"/>
      <c r="L747" s="110"/>
      <c r="M747" s="110"/>
      <c r="N747" s="110"/>
      <c r="O747" s="110"/>
      <c r="R747" s="101"/>
      <c r="S747" s="101"/>
    </row>
    <row r="748">
      <c r="C748" s="90"/>
      <c r="D748" s="90"/>
      <c r="E748" s="67"/>
      <c r="F748" s="90"/>
      <c r="G748" s="107"/>
      <c r="H748" s="108"/>
      <c r="J748" s="109"/>
      <c r="K748" s="110"/>
      <c r="L748" s="110"/>
      <c r="M748" s="110"/>
      <c r="N748" s="110"/>
      <c r="O748" s="110"/>
      <c r="R748" s="101"/>
      <c r="S748" s="101"/>
    </row>
    <row r="749">
      <c r="C749" s="90"/>
      <c r="D749" s="90"/>
      <c r="E749" s="67"/>
      <c r="F749" s="90"/>
      <c r="G749" s="107"/>
      <c r="H749" s="108"/>
      <c r="J749" s="109"/>
      <c r="K749" s="110"/>
      <c r="L749" s="110"/>
      <c r="M749" s="110"/>
      <c r="N749" s="110"/>
      <c r="O749" s="110"/>
      <c r="R749" s="101"/>
      <c r="S749" s="101"/>
    </row>
    <row r="750">
      <c r="C750" s="90"/>
      <c r="D750" s="90"/>
      <c r="E750" s="67"/>
      <c r="F750" s="90"/>
      <c r="G750" s="107"/>
      <c r="H750" s="108"/>
      <c r="J750" s="109"/>
      <c r="K750" s="110"/>
      <c r="L750" s="110"/>
      <c r="M750" s="110"/>
      <c r="N750" s="110"/>
      <c r="O750" s="110"/>
      <c r="R750" s="101"/>
      <c r="S750" s="101"/>
    </row>
    <row r="751">
      <c r="C751" s="90"/>
      <c r="D751" s="90"/>
      <c r="E751" s="67"/>
      <c r="F751" s="90"/>
      <c r="G751" s="107"/>
      <c r="H751" s="108"/>
      <c r="J751" s="109"/>
      <c r="K751" s="110"/>
      <c r="L751" s="110"/>
      <c r="M751" s="110"/>
      <c r="N751" s="110"/>
      <c r="O751" s="110"/>
      <c r="R751" s="101"/>
      <c r="S751" s="101"/>
    </row>
    <row r="752">
      <c r="C752" s="90"/>
      <c r="D752" s="90"/>
      <c r="E752" s="67"/>
      <c r="F752" s="90"/>
      <c r="G752" s="107"/>
      <c r="H752" s="108"/>
      <c r="J752" s="109"/>
      <c r="K752" s="110"/>
      <c r="L752" s="110"/>
      <c r="M752" s="110"/>
      <c r="N752" s="110"/>
      <c r="O752" s="110"/>
      <c r="R752" s="101"/>
      <c r="S752" s="101"/>
    </row>
    <row r="753">
      <c r="C753" s="90"/>
      <c r="D753" s="90"/>
      <c r="E753" s="67"/>
      <c r="F753" s="90"/>
      <c r="G753" s="107"/>
      <c r="H753" s="108"/>
      <c r="J753" s="109"/>
      <c r="K753" s="110"/>
      <c r="L753" s="110"/>
      <c r="M753" s="110"/>
      <c r="N753" s="110"/>
      <c r="O753" s="110"/>
      <c r="R753" s="101"/>
      <c r="S753" s="101"/>
    </row>
    <row r="754">
      <c r="C754" s="90"/>
      <c r="D754" s="90"/>
      <c r="E754" s="67"/>
      <c r="F754" s="90"/>
      <c r="G754" s="107"/>
      <c r="H754" s="108"/>
      <c r="J754" s="109"/>
      <c r="K754" s="110"/>
      <c r="L754" s="110"/>
      <c r="M754" s="110"/>
      <c r="N754" s="110"/>
      <c r="O754" s="110"/>
      <c r="R754" s="101"/>
      <c r="S754" s="101"/>
    </row>
    <row r="755">
      <c r="C755" s="90"/>
      <c r="D755" s="90"/>
      <c r="E755" s="67"/>
      <c r="F755" s="90"/>
      <c r="G755" s="107"/>
      <c r="H755" s="108"/>
      <c r="J755" s="109"/>
      <c r="K755" s="110"/>
      <c r="L755" s="110"/>
      <c r="M755" s="110"/>
      <c r="N755" s="110"/>
      <c r="O755" s="110"/>
      <c r="R755" s="101"/>
      <c r="S755" s="101"/>
    </row>
    <row r="756">
      <c r="C756" s="90"/>
      <c r="D756" s="90"/>
      <c r="E756" s="67"/>
      <c r="F756" s="90"/>
      <c r="G756" s="107"/>
      <c r="H756" s="108"/>
      <c r="J756" s="109"/>
      <c r="K756" s="110"/>
      <c r="L756" s="110"/>
      <c r="M756" s="110"/>
      <c r="N756" s="110"/>
      <c r="O756" s="110"/>
      <c r="R756" s="101"/>
      <c r="S756" s="101"/>
    </row>
    <row r="757">
      <c r="C757" s="90"/>
      <c r="D757" s="90"/>
      <c r="E757" s="67"/>
      <c r="F757" s="90"/>
      <c r="G757" s="107"/>
      <c r="H757" s="108"/>
      <c r="J757" s="109"/>
      <c r="K757" s="110"/>
      <c r="L757" s="110"/>
      <c r="M757" s="110"/>
      <c r="N757" s="110"/>
      <c r="O757" s="110"/>
      <c r="R757" s="101"/>
      <c r="S757" s="101"/>
    </row>
    <row r="758">
      <c r="C758" s="90"/>
      <c r="D758" s="90"/>
      <c r="E758" s="67"/>
      <c r="F758" s="90"/>
      <c r="G758" s="107"/>
      <c r="H758" s="108"/>
      <c r="J758" s="109"/>
      <c r="K758" s="110"/>
      <c r="L758" s="110"/>
      <c r="M758" s="110"/>
      <c r="N758" s="110"/>
      <c r="O758" s="110"/>
      <c r="R758" s="101"/>
      <c r="S758" s="101"/>
    </row>
    <row r="759">
      <c r="C759" s="90"/>
      <c r="D759" s="90"/>
      <c r="E759" s="67"/>
      <c r="F759" s="90"/>
      <c r="G759" s="107"/>
      <c r="H759" s="108"/>
      <c r="J759" s="109"/>
      <c r="K759" s="110"/>
      <c r="L759" s="110"/>
      <c r="M759" s="110"/>
      <c r="N759" s="110"/>
      <c r="O759" s="110"/>
      <c r="R759" s="101"/>
      <c r="S759" s="101"/>
    </row>
    <row r="760">
      <c r="C760" s="90"/>
      <c r="D760" s="90"/>
      <c r="E760" s="67"/>
      <c r="F760" s="90"/>
      <c r="G760" s="107"/>
      <c r="H760" s="108"/>
      <c r="J760" s="109"/>
      <c r="K760" s="110"/>
      <c r="L760" s="110"/>
      <c r="M760" s="110"/>
      <c r="N760" s="110"/>
      <c r="O760" s="110"/>
      <c r="R760" s="101"/>
      <c r="S760" s="101"/>
    </row>
    <row r="761">
      <c r="C761" s="90"/>
      <c r="D761" s="90"/>
      <c r="E761" s="67"/>
      <c r="F761" s="90"/>
      <c r="G761" s="107"/>
      <c r="H761" s="108"/>
      <c r="J761" s="109"/>
      <c r="K761" s="110"/>
      <c r="L761" s="110"/>
      <c r="M761" s="110"/>
      <c r="N761" s="110"/>
      <c r="O761" s="110"/>
      <c r="R761" s="101"/>
      <c r="S761" s="101"/>
    </row>
    <row r="762">
      <c r="C762" s="90"/>
      <c r="D762" s="90"/>
      <c r="E762" s="67"/>
      <c r="F762" s="90"/>
      <c r="G762" s="107"/>
      <c r="H762" s="108"/>
      <c r="J762" s="109"/>
      <c r="K762" s="110"/>
      <c r="L762" s="110"/>
      <c r="M762" s="110"/>
      <c r="N762" s="110"/>
      <c r="O762" s="110"/>
      <c r="R762" s="101"/>
      <c r="S762" s="101"/>
    </row>
    <row r="763">
      <c r="C763" s="90"/>
      <c r="D763" s="90"/>
      <c r="E763" s="67"/>
      <c r="F763" s="90"/>
      <c r="G763" s="107"/>
      <c r="H763" s="108"/>
      <c r="J763" s="109"/>
      <c r="K763" s="110"/>
      <c r="L763" s="110"/>
      <c r="M763" s="110"/>
      <c r="N763" s="110"/>
      <c r="O763" s="110"/>
      <c r="R763" s="101"/>
      <c r="S763" s="101"/>
    </row>
    <row r="764">
      <c r="C764" s="90"/>
      <c r="D764" s="90"/>
      <c r="E764" s="67"/>
      <c r="F764" s="90"/>
      <c r="G764" s="107"/>
      <c r="H764" s="108"/>
      <c r="J764" s="109"/>
      <c r="K764" s="110"/>
      <c r="L764" s="110"/>
      <c r="M764" s="110"/>
      <c r="N764" s="110"/>
      <c r="O764" s="110"/>
      <c r="R764" s="101"/>
      <c r="S764" s="101"/>
    </row>
    <row r="765">
      <c r="C765" s="90"/>
      <c r="D765" s="90"/>
      <c r="E765" s="67"/>
      <c r="F765" s="90"/>
      <c r="G765" s="107"/>
      <c r="H765" s="108"/>
      <c r="J765" s="109"/>
      <c r="K765" s="110"/>
      <c r="L765" s="110"/>
      <c r="M765" s="110"/>
      <c r="N765" s="110"/>
      <c r="O765" s="110"/>
      <c r="R765" s="101"/>
      <c r="S765" s="101"/>
    </row>
    <row r="766">
      <c r="C766" s="90"/>
      <c r="D766" s="90"/>
      <c r="E766" s="67"/>
      <c r="F766" s="90"/>
      <c r="G766" s="107"/>
      <c r="H766" s="108"/>
      <c r="J766" s="109"/>
      <c r="K766" s="110"/>
      <c r="L766" s="110"/>
      <c r="M766" s="110"/>
      <c r="N766" s="110"/>
      <c r="O766" s="110"/>
      <c r="R766" s="101"/>
      <c r="S766" s="101"/>
    </row>
    <row r="767">
      <c r="C767" s="90"/>
      <c r="D767" s="90"/>
      <c r="E767" s="67"/>
      <c r="F767" s="90"/>
      <c r="G767" s="107"/>
      <c r="H767" s="108"/>
      <c r="J767" s="109"/>
      <c r="K767" s="110"/>
      <c r="L767" s="110"/>
      <c r="M767" s="110"/>
      <c r="N767" s="110"/>
      <c r="O767" s="110"/>
      <c r="R767" s="101"/>
      <c r="S767" s="101"/>
    </row>
    <row r="768">
      <c r="C768" s="90"/>
      <c r="D768" s="90"/>
      <c r="E768" s="67"/>
      <c r="F768" s="90"/>
      <c r="G768" s="107"/>
      <c r="H768" s="108"/>
      <c r="J768" s="109"/>
      <c r="K768" s="110"/>
      <c r="L768" s="110"/>
      <c r="M768" s="110"/>
      <c r="N768" s="110"/>
      <c r="O768" s="110"/>
      <c r="R768" s="101"/>
      <c r="S768" s="101"/>
    </row>
    <row r="769">
      <c r="C769" s="90"/>
      <c r="D769" s="90"/>
      <c r="E769" s="67"/>
      <c r="F769" s="90"/>
      <c r="G769" s="107"/>
      <c r="H769" s="108"/>
      <c r="J769" s="109"/>
      <c r="K769" s="110"/>
      <c r="L769" s="110"/>
      <c r="M769" s="110"/>
      <c r="N769" s="110"/>
      <c r="O769" s="110"/>
      <c r="R769" s="101"/>
      <c r="S769" s="101"/>
    </row>
    <row r="770">
      <c r="C770" s="90"/>
      <c r="D770" s="90"/>
      <c r="E770" s="67"/>
      <c r="F770" s="90"/>
      <c r="G770" s="107"/>
      <c r="H770" s="108"/>
      <c r="J770" s="109"/>
      <c r="K770" s="110"/>
      <c r="L770" s="110"/>
      <c r="M770" s="110"/>
      <c r="N770" s="110"/>
      <c r="O770" s="110"/>
      <c r="R770" s="101"/>
      <c r="S770" s="101"/>
    </row>
    <row r="771">
      <c r="C771" s="90"/>
      <c r="D771" s="90"/>
      <c r="E771" s="67"/>
      <c r="F771" s="90"/>
      <c r="G771" s="107"/>
      <c r="H771" s="108"/>
      <c r="J771" s="109"/>
      <c r="K771" s="110"/>
      <c r="L771" s="110"/>
      <c r="M771" s="110"/>
      <c r="N771" s="110"/>
      <c r="O771" s="110"/>
      <c r="R771" s="101"/>
      <c r="S771" s="101"/>
    </row>
    <row r="772">
      <c r="C772" s="90"/>
      <c r="D772" s="90"/>
      <c r="E772" s="67"/>
      <c r="F772" s="90"/>
      <c r="G772" s="107"/>
      <c r="H772" s="108"/>
      <c r="J772" s="109"/>
      <c r="K772" s="110"/>
      <c r="L772" s="110"/>
      <c r="M772" s="110"/>
      <c r="N772" s="110"/>
      <c r="O772" s="110"/>
      <c r="R772" s="101"/>
      <c r="S772" s="101"/>
    </row>
    <row r="773">
      <c r="C773" s="90"/>
      <c r="D773" s="90"/>
      <c r="E773" s="67"/>
      <c r="F773" s="90"/>
      <c r="G773" s="107"/>
      <c r="H773" s="108"/>
      <c r="J773" s="109"/>
      <c r="K773" s="110"/>
      <c r="L773" s="110"/>
      <c r="M773" s="110"/>
      <c r="N773" s="110"/>
      <c r="O773" s="110"/>
      <c r="R773" s="101"/>
      <c r="S773" s="101"/>
    </row>
    <row r="774">
      <c r="C774" s="90"/>
      <c r="D774" s="90"/>
      <c r="E774" s="67"/>
      <c r="F774" s="90"/>
      <c r="G774" s="107"/>
      <c r="H774" s="108"/>
      <c r="J774" s="109"/>
      <c r="K774" s="110"/>
      <c r="L774" s="110"/>
      <c r="M774" s="110"/>
      <c r="N774" s="110"/>
      <c r="O774" s="110"/>
      <c r="R774" s="101"/>
      <c r="S774" s="101"/>
    </row>
    <row r="775">
      <c r="C775" s="90"/>
      <c r="D775" s="90"/>
      <c r="E775" s="67"/>
      <c r="F775" s="90"/>
      <c r="G775" s="107"/>
      <c r="H775" s="108"/>
      <c r="J775" s="109"/>
      <c r="K775" s="110"/>
      <c r="L775" s="110"/>
      <c r="M775" s="110"/>
      <c r="N775" s="110"/>
      <c r="O775" s="110"/>
      <c r="R775" s="101"/>
      <c r="S775" s="101"/>
    </row>
    <row r="776">
      <c r="C776" s="90"/>
      <c r="D776" s="90"/>
      <c r="E776" s="67"/>
      <c r="F776" s="90"/>
      <c r="G776" s="107"/>
      <c r="H776" s="108"/>
      <c r="J776" s="109"/>
      <c r="K776" s="110"/>
      <c r="L776" s="110"/>
      <c r="M776" s="110"/>
      <c r="N776" s="110"/>
      <c r="O776" s="110"/>
      <c r="R776" s="101"/>
      <c r="S776" s="101"/>
    </row>
    <row r="777">
      <c r="C777" s="90"/>
      <c r="D777" s="90"/>
      <c r="E777" s="67"/>
      <c r="F777" s="90"/>
      <c r="G777" s="107"/>
      <c r="H777" s="108"/>
      <c r="J777" s="109"/>
      <c r="K777" s="110"/>
      <c r="L777" s="110"/>
      <c r="M777" s="110"/>
      <c r="N777" s="110"/>
      <c r="O777" s="110"/>
      <c r="R777" s="101"/>
      <c r="S777" s="101"/>
    </row>
    <row r="778">
      <c r="C778" s="90"/>
      <c r="D778" s="90"/>
      <c r="E778" s="67"/>
      <c r="F778" s="90"/>
      <c r="G778" s="107"/>
      <c r="H778" s="108"/>
      <c r="J778" s="109"/>
      <c r="K778" s="110"/>
      <c r="L778" s="110"/>
      <c r="M778" s="110"/>
      <c r="N778" s="110"/>
      <c r="O778" s="110"/>
      <c r="R778" s="101"/>
      <c r="S778" s="101"/>
    </row>
    <row r="779">
      <c r="C779" s="90"/>
      <c r="D779" s="90"/>
      <c r="E779" s="67"/>
      <c r="F779" s="90"/>
      <c r="G779" s="107"/>
      <c r="H779" s="108"/>
      <c r="J779" s="109"/>
      <c r="K779" s="110"/>
      <c r="L779" s="110"/>
      <c r="M779" s="110"/>
      <c r="N779" s="110"/>
      <c r="O779" s="110"/>
      <c r="R779" s="101"/>
      <c r="S779" s="101"/>
    </row>
    <row r="780">
      <c r="C780" s="90"/>
      <c r="D780" s="90"/>
      <c r="E780" s="67"/>
      <c r="F780" s="90"/>
      <c r="G780" s="107"/>
      <c r="H780" s="108"/>
      <c r="J780" s="109"/>
      <c r="K780" s="110"/>
      <c r="L780" s="110"/>
      <c r="M780" s="110"/>
      <c r="N780" s="110"/>
      <c r="O780" s="110"/>
      <c r="R780" s="101"/>
      <c r="S780" s="101"/>
    </row>
    <row r="781">
      <c r="C781" s="90"/>
      <c r="D781" s="90"/>
      <c r="E781" s="67"/>
      <c r="F781" s="90"/>
      <c r="G781" s="107"/>
      <c r="H781" s="108"/>
      <c r="J781" s="109"/>
      <c r="K781" s="110"/>
      <c r="L781" s="110"/>
      <c r="M781" s="110"/>
      <c r="N781" s="110"/>
      <c r="O781" s="110"/>
      <c r="R781" s="101"/>
      <c r="S781" s="101"/>
    </row>
    <row r="782">
      <c r="C782" s="90"/>
      <c r="D782" s="90"/>
      <c r="E782" s="67"/>
      <c r="F782" s="90"/>
      <c r="G782" s="107"/>
      <c r="H782" s="108"/>
      <c r="J782" s="109"/>
      <c r="K782" s="110"/>
      <c r="L782" s="110"/>
      <c r="M782" s="110"/>
      <c r="N782" s="110"/>
      <c r="O782" s="110"/>
      <c r="R782" s="101"/>
      <c r="S782" s="101"/>
    </row>
    <row r="783">
      <c r="C783" s="90"/>
      <c r="D783" s="90"/>
      <c r="E783" s="67"/>
      <c r="F783" s="90"/>
      <c r="G783" s="107"/>
      <c r="H783" s="108"/>
      <c r="J783" s="109"/>
      <c r="K783" s="110"/>
      <c r="L783" s="110"/>
      <c r="M783" s="110"/>
      <c r="N783" s="110"/>
      <c r="O783" s="110"/>
      <c r="R783" s="101"/>
      <c r="S783" s="101"/>
    </row>
    <row r="784">
      <c r="C784" s="90"/>
      <c r="D784" s="90"/>
      <c r="E784" s="67"/>
      <c r="F784" s="90"/>
      <c r="G784" s="107"/>
      <c r="H784" s="108"/>
      <c r="J784" s="109"/>
      <c r="K784" s="110"/>
      <c r="L784" s="110"/>
      <c r="M784" s="110"/>
      <c r="N784" s="110"/>
      <c r="O784" s="110"/>
      <c r="R784" s="101"/>
      <c r="S784" s="101"/>
    </row>
    <row r="785">
      <c r="C785" s="90"/>
      <c r="D785" s="90"/>
      <c r="E785" s="67"/>
      <c r="F785" s="90"/>
      <c r="G785" s="107"/>
      <c r="H785" s="108"/>
      <c r="J785" s="109"/>
      <c r="K785" s="110"/>
      <c r="L785" s="110"/>
      <c r="M785" s="110"/>
      <c r="N785" s="110"/>
      <c r="O785" s="110"/>
      <c r="R785" s="101"/>
      <c r="S785" s="101"/>
    </row>
    <row r="786">
      <c r="C786" s="90"/>
      <c r="D786" s="90"/>
      <c r="E786" s="67"/>
      <c r="F786" s="90"/>
      <c r="G786" s="107"/>
      <c r="H786" s="108"/>
      <c r="J786" s="109"/>
      <c r="K786" s="110"/>
      <c r="L786" s="110"/>
      <c r="M786" s="110"/>
      <c r="N786" s="110"/>
      <c r="O786" s="110"/>
      <c r="R786" s="101"/>
      <c r="S786" s="101"/>
    </row>
    <row r="787">
      <c r="C787" s="90"/>
      <c r="D787" s="90"/>
      <c r="E787" s="67"/>
      <c r="F787" s="90"/>
      <c r="G787" s="107"/>
      <c r="H787" s="108"/>
      <c r="J787" s="109"/>
      <c r="K787" s="110"/>
      <c r="L787" s="110"/>
      <c r="M787" s="110"/>
      <c r="N787" s="110"/>
      <c r="O787" s="110"/>
      <c r="R787" s="101"/>
      <c r="S787" s="101"/>
    </row>
    <row r="788">
      <c r="C788" s="90"/>
      <c r="D788" s="90"/>
      <c r="E788" s="67"/>
      <c r="F788" s="90"/>
      <c r="G788" s="107"/>
      <c r="H788" s="108"/>
      <c r="J788" s="109"/>
      <c r="K788" s="110"/>
      <c r="L788" s="110"/>
      <c r="M788" s="110"/>
      <c r="N788" s="110"/>
      <c r="O788" s="110"/>
      <c r="R788" s="101"/>
      <c r="S788" s="101"/>
    </row>
    <row r="789">
      <c r="C789" s="90"/>
      <c r="D789" s="90"/>
      <c r="E789" s="67"/>
      <c r="F789" s="90"/>
      <c r="G789" s="107"/>
      <c r="H789" s="108"/>
      <c r="J789" s="109"/>
      <c r="K789" s="110"/>
      <c r="L789" s="110"/>
      <c r="M789" s="110"/>
      <c r="N789" s="110"/>
      <c r="O789" s="110"/>
      <c r="R789" s="101"/>
      <c r="S789" s="101"/>
    </row>
    <row r="790">
      <c r="C790" s="90"/>
      <c r="D790" s="90"/>
      <c r="E790" s="67"/>
      <c r="F790" s="90"/>
      <c r="G790" s="107"/>
      <c r="H790" s="108"/>
      <c r="J790" s="109"/>
      <c r="K790" s="110"/>
      <c r="L790" s="110"/>
      <c r="M790" s="110"/>
      <c r="N790" s="110"/>
      <c r="O790" s="110"/>
      <c r="R790" s="101"/>
      <c r="S790" s="101"/>
    </row>
    <row r="791">
      <c r="C791" s="90"/>
      <c r="D791" s="90"/>
      <c r="E791" s="67"/>
      <c r="F791" s="90"/>
      <c r="G791" s="107"/>
      <c r="H791" s="108"/>
      <c r="J791" s="109"/>
      <c r="K791" s="110"/>
      <c r="L791" s="110"/>
      <c r="M791" s="110"/>
      <c r="N791" s="110"/>
      <c r="O791" s="110"/>
      <c r="R791" s="101"/>
      <c r="S791" s="101"/>
    </row>
    <row r="792">
      <c r="C792" s="90"/>
      <c r="D792" s="90"/>
      <c r="E792" s="67"/>
      <c r="F792" s="90"/>
      <c r="G792" s="107"/>
      <c r="H792" s="108"/>
      <c r="J792" s="109"/>
      <c r="K792" s="110"/>
      <c r="L792" s="110"/>
      <c r="M792" s="110"/>
      <c r="N792" s="110"/>
      <c r="O792" s="110"/>
      <c r="R792" s="101"/>
      <c r="S792" s="101"/>
    </row>
    <row r="793">
      <c r="C793" s="90"/>
      <c r="D793" s="90"/>
      <c r="E793" s="67"/>
      <c r="F793" s="90"/>
      <c r="G793" s="107"/>
      <c r="H793" s="108"/>
      <c r="J793" s="109"/>
      <c r="K793" s="110"/>
      <c r="L793" s="110"/>
      <c r="M793" s="110"/>
      <c r="N793" s="110"/>
      <c r="O793" s="110"/>
      <c r="R793" s="101"/>
      <c r="S793" s="101"/>
    </row>
    <row r="794">
      <c r="C794" s="90"/>
      <c r="D794" s="90"/>
      <c r="E794" s="67"/>
      <c r="F794" s="90"/>
      <c r="G794" s="107"/>
      <c r="H794" s="108"/>
      <c r="J794" s="109"/>
      <c r="K794" s="110"/>
      <c r="L794" s="110"/>
      <c r="M794" s="110"/>
      <c r="N794" s="110"/>
      <c r="O794" s="110"/>
      <c r="R794" s="101"/>
      <c r="S794" s="101"/>
    </row>
    <row r="795">
      <c r="C795" s="90"/>
      <c r="D795" s="90"/>
      <c r="E795" s="67"/>
      <c r="F795" s="90"/>
      <c r="G795" s="107"/>
      <c r="H795" s="108"/>
      <c r="J795" s="109"/>
      <c r="K795" s="110"/>
      <c r="L795" s="110"/>
      <c r="M795" s="110"/>
      <c r="N795" s="110"/>
      <c r="O795" s="110"/>
      <c r="R795" s="101"/>
      <c r="S795" s="101"/>
    </row>
    <row r="796">
      <c r="C796" s="90"/>
      <c r="D796" s="90"/>
      <c r="E796" s="67"/>
      <c r="F796" s="90"/>
      <c r="G796" s="107"/>
      <c r="H796" s="108"/>
      <c r="J796" s="109"/>
      <c r="K796" s="110"/>
      <c r="L796" s="110"/>
      <c r="M796" s="110"/>
      <c r="N796" s="110"/>
      <c r="O796" s="110"/>
      <c r="R796" s="101"/>
      <c r="S796" s="101"/>
    </row>
    <row r="797">
      <c r="C797" s="90"/>
      <c r="D797" s="90"/>
      <c r="E797" s="67"/>
      <c r="F797" s="90"/>
      <c r="G797" s="107"/>
      <c r="H797" s="108"/>
      <c r="J797" s="109"/>
      <c r="K797" s="110"/>
      <c r="L797" s="110"/>
      <c r="M797" s="110"/>
      <c r="N797" s="110"/>
      <c r="O797" s="110"/>
      <c r="R797" s="101"/>
      <c r="S797" s="101"/>
    </row>
    <row r="798">
      <c r="C798" s="90"/>
      <c r="D798" s="90"/>
      <c r="E798" s="67"/>
      <c r="F798" s="90"/>
      <c r="G798" s="107"/>
      <c r="H798" s="108"/>
      <c r="J798" s="109"/>
      <c r="K798" s="110"/>
      <c r="L798" s="110"/>
      <c r="M798" s="110"/>
      <c r="N798" s="110"/>
      <c r="O798" s="110"/>
      <c r="R798" s="101"/>
      <c r="S798" s="101"/>
    </row>
    <row r="799">
      <c r="C799" s="90"/>
      <c r="D799" s="90"/>
      <c r="E799" s="67"/>
      <c r="F799" s="90"/>
      <c r="G799" s="107"/>
      <c r="H799" s="108"/>
      <c r="J799" s="109"/>
      <c r="K799" s="110"/>
      <c r="L799" s="110"/>
      <c r="M799" s="110"/>
      <c r="N799" s="110"/>
      <c r="O799" s="110"/>
      <c r="R799" s="101"/>
      <c r="S799" s="101"/>
    </row>
    <row r="800">
      <c r="C800" s="90"/>
      <c r="D800" s="90"/>
      <c r="E800" s="67"/>
      <c r="F800" s="90"/>
      <c r="G800" s="107"/>
      <c r="H800" s="108"/>
      <c r="J800" s="109"/>
      <c r="K800" s="110"/>
      <c r="L800" s="110"/>
      <c r="M800" s="110"/>
      <c r="N800" s="110"/>
      <c r="O800" s="110"/>
      <c r="R800" s="101"/>
      <c r="S800" s="101"/>
    </row>
    <row r="801">
      <c r="C801" s="90"/>
      <c r="D801" s="90"/>
      <c r="E801" s="67"/>
      <c r="F801" s="90"/>
      <c r="G801" s="107"/>
      <c r="H801" s="108"/>
      <c r="J801" s="109"/>
      <c r="K801" s="110"/>
      <c r="L801" s="110"/>
      <c r="M801" s="110"/>
      <c r="N801" s="110"/>
      <c r="O801" s="110"/>
      <c r="R801" s="101"/>
      <c r="S801" s="101"/>
    </row>
    <row r="802">
      <c r="C802" s="90"/>
      <c r="D802" s="90"/>
      <c r="E802" s="67"/>
      <c r="F802" s="90"/>
      <c r="G802" s="107"/>
      <c r="H802" s="108"/>
      <c r="J802" s="109"/>
      <c r="K802" s="110"/>
      <c r="L802" s="110"/>
      <c r="M802" s="110"/>
      <c r="N802" s="110"/>
      <c r="O802" s="110"/>
      <c r="R802" s="101"/>
      <c r="S802" s="101"/>
    </row>
    <row r="803">
      <c r="C803" s="90"/>
      <c r="D803" s="90"/>
      <c r="E803" s="67"/>
      <c r="F803" s="90"/>
      <c r="G803" s="107"/>
      <c r="H803" s="108"/>
      <c r="J803" s="109"/>
      <c r="K803" s="110"/>
      <c r="L803" s="110"/>
      <c r="M803" s="110"/>
      <c r="N803" s="110"/>
      <c r="O803" s="110"/>
      <c r="R803" s="101"/>
      <c r="S803" s="101"/>
    </row>
    <row r="804">
      <c r="C804" s="90"/>
      <c r="D804" s="90"/>
      <c r="E804" s="67"/>
      <c r="F804" s="90"/>
      <c r="G804" s="107"/>
      <c r="H804" s="108"/>
      <c r="J804" s="109"/>
      <c r="K804" s="110"/>
      <c r="L804" s="110"/>
      <c r="M804" s="110"/>
      <c r="N804" s="110"/>
      <c r="O804" s="110"/>
      <c r="R804" s="101"/>
      <c r="S804" s="101"/>
    </row>
    <row r="805">
      <c r="C805" s="90"/>
      <c r="D805" s="90"/>
      <c r="E805" s="67"/>
      <c r="F805" s="90"/>
      <c r="G805" s="107"/>
      <c r="H805" s="108"/>
      <c r="J805" s="109"/>
      <c r="K805" s="110"/>
      <c r="L805" s="110"/>
      <c r="M805" s="110"/>
      <c r="N805" s="110"/>
      <c r="O805" s="110"/>
      <c r="R805" s="101"/>
      <c r="S805" s="101"/>
    </row>
    <row r="806">
      <c r="C806" s="90"/>
      <c r="D806" s="90"/>
      <c r="E806" s="67"/>
      <c r="F806" s="90"/>
      <c r="G806" s="107"/>
      <c r="H806" s="108"/>
      <c r="J806" s="109"/>
      <c r="K806" s="110"/>
      <c r="L806" s="110"/>
      <c r="M806" s="110"/>
      <c r="N806" s="110"/>
      <c r="O806" s="110"/>
      <c r="R806" s="101"/>
      <c r="S806" s="101"/>
    </row>
    <row r="807">
      <c r="C807" s="90"/>
      <c r="D807" s="90"/>
      <c r="E807" s="67"/>
      <c r="F807" s="90"/>
      <c r="G807" s="107"/>
      <c r="H807" s="108"/>
      <c r="J807" s="109"/>
      <c r="K807" s="110"/>
      <c r="L807" s="110"/>
      <c r="M807" s="110"/>
      <c r="N807" s="110"/>
      <c r="O807" s="110"/>
      <c r="R807" s="101"/>
      <c r="S807" s="101"/>
    </row>
    <row r="808">
      <c r="C808" s="90"/>
      <c r="D808" s="90"/>
      <c r="E808" s="67"/>
      <c r="F808" s="90"/>
      <c r="G808" s="107"/>
      <c r="H808" s="108"/>
      <c r="J808" s="109"/>
      <c r="K808" s="110"/>
      <c r="L808" s="110"/>
      <c r="M808" s="110"/>
      <c r="N808" s="110"/>
      <c r="O808" s="110"/>
      <c r="R808" s="101"/>
      <c r="S808" s="101"/>
    </row>
    <row r="809">
      <c r="C809" s="90"/>
      <c r="D809" s="90"/>
      <c r="E809" s="67"/>
      <c r="F809" s="90"/>
      <c r="G809" s="107"/>
      <c r="H809" s="108"/>
      <c r="J809" s="109"/>
      <c r="K809" s="110"/>
      <c r="L809" s="110"/>
      <c r="M809" s="110"/>
      <c r="N809" s="110"/>
      <c r="O809" s="110"/>
      <c r="R809" s="101"/>
      <c r="S809" s="101"/>
    </row>
    <row r="810">
      <c r="C810" s="90"/>
      <c r="D810" s="90"/>
      <c r="E810" s="67"/>
      <c r="F810" s="90"/>
      <c r="G810" s="107"/>
      <c r="H810" s="108"/>
      <c r="J810" s="109"/>
      <c r="K810" s="110"/>
      <c r="L810" s="110"/>
      <c r="M810" s="110"/>
      <c r="N810" s="110"/>
      <c r="O810" s="110"/>
      <c r="R810" s="101"/>
      <c r="S810" s="101"/>
    </row>
    <row r="811">
      <c r="C811" s="90"/>
      <c r="D811" s="90"/>
      <c r="E811" s="67"/>
      <c r="F811" s="90"/>
      <c r="G811" s="107"/>
      <c r="H811" s="108"/>
      <c r="J811" s="109"/>
      <c r="K811" s="110"/>
      <c r="L811" s="110"/>
      <c r="M811" s="110"/>
      <c r="N811" s="110"/>
      <c r="O811" s="110"/>
      <c r="R811" s="101"/>
      <c r="S811" s="101"/>
    </row>
    <row r="812">
      <c r="C812" s="90"/>
      <c r="D812" s="90"/>
      <c r="E812" s="67"/>
      <c r="F812" s="90"/>
      <c r="G812" s="107"/>
      <c r="H812" s="108"/>
      <c r="J812" s="109"/>
      <c r="K812" s="110"/>
      <c r="L812" s="110"/>
      <c r="M812" s="110"/>
      <c r="N812" s="110"/>
      <c r="O812" s="110"/>
      <c r="R812" s="101"/>
      <c r="S812" s="101"/>
    </row>
    <row r="813">
      <c r="C813" s="90"/>
      <c r="D813" s="90"/>
      <c r="E813" s="67"/>
      <c r="F813" s="90"/>
      <c r="G813" s="107"/>
      <c r="H813" s="108"/>
      <c r="J813" s="109"/>
      <c r="K813" s="110"/>
      <c r="L813" s="110"/>
      <c r="M813" s="110"/>
      <c r="N813" s="110"/>
      <c r="O813" s="110"/>
      <c r="R813" s="101"/>
      <c r="S813" s="101"/>
    </row>
    <row r="814">
      <c r="C814" s="90"/>
      <c r="D814" s="90"/>
      <c r="E814" s="67"/>
      <c r="F814" s="90"/>
      <c r="G814" s="107"/>
      <c r="H814" s="108"/>
      <c r="J814" s="109"/>
      <c r="K814" s="110"/>
      <c r="L814" s="110"/>
      <c r="M814" s="110"/>
      <c r="N814" s="110"/>
      <c r="O814" s="110"/>
      <c r="R814" s="101"/>
      <c r="S814" s="101"/>
    </row>
    <row r="815">
      <c r="C815" s="90"/>
      <c r="D815" s="90"/>
      <c r="E815" s="67"/>
      <c r="F815" s="90"/>
      <c r="G815" s="107"/>
      <c r="H815" s="108"/>
      <c r="J815" s="109"/>
      <c r="K815" s="110"/>
      <c r="L815" s="110"/>
      <c r="M815" s="110"/>
      <c r="N815" s="110"/>
      <c r="O815" s="110"/>
      <c r="R815" s="101"/>
      <c r="S815" s="101"/>
    </row>
    <row r="816">
      <c r="C816" s="90"/>
      <c r="D816" s="90"/>
      <c r="E816" s="67"/>
      <c r="F816" s="90"/>
      <c r="G816" s="107"/>
      <c r="H816" s="108"/>
      <c r="J816" s="109"/>
      <c r="K816" s="110"/>
      <c r="L816" s="110"/>
      <c r="M816" s="110"/>
      <c r="N816" s="110"/>
      <c r="O816" s="110"/>
      <c r="R816" s="101"/>
      <c r="S816" s="101"/>
    </row>
    <row r="817">
      <c r="C817" s="90"/>
      <c r="D817" s="90"/>
      <c r="E817" s="67"/>
      <c r="F817" s="90"/>
      <c r="G817" s="107"/>
      <c r="H817" s="108"/>
      <c r="J817" s="109"/>
      <c r="K817" s="110"/>
      <c r="L817" s="110"/>
      <c r="M817" s="110"/>
      <c r="N817" s="110"/>
      <c r="O817" s="110"/>
      <c r="R817" s="101"/>
      <c r="S817" s="101"/>
    </row>
    <row r="818">
      <c r="C818" s="90"/>
      <c r="D818" s="90"/>
      <c r="E818" s="67"/>
      <c r="F818" s="90"/>
      <c r="G818" s="107"/>
      <c r="H818" s="108"/>
      <c r="J818" s="109"/>
      <c r="K818" s="110"/>
      <c r="L818" s="110"/>
      <c r="M818" s="110"/>
      <c r="N818" s="110"/>
      <c r="O818" s="110"/>
      <c r="R818" s="101"/>
      <c r="S818" s="101"/>
    </row>
    <row r="819">
      <c r="C819" s="90"/>
      <c r="D819" s="90"/>
      <c r="E819" s="67"/>
      <c r="F819" s="90"/>
      <c r="G819" s="107"/>
      <c r="H819" s="108"/>
      <c r="J819" s="109"/>
      <c r="K819" s="110"/>
      <c r="L819" s="110"/>
      <c r="M819" s="110"/>
      <c r="N819" s="110"/>
      <c r="O819" s="110"/>
      <c r="R819" s="101"/>
      <c r="S819" s="101"/>
    </row>
    <row r="820">
      <c r="C820" s="90"/>
      <c r="D820" s="90"/>
      <c r="E820" s="67"/>
      <c r="F820" s="90"/>
      <c r="G820" s="107"/>
      <c r="H820" s="108"/>
      <c r="J820" s="109"/>
      <c r="K820" s="110"/>
      <c r="L820" s="110"/>
      <c r="M820" s="110"/>
      <c r="N820" s="110"/>
      <c r="O820" s="110"/>
      <c r="R820" s="101"/>
      <c r="S820" s="101"/>
    </row>
    <row r="821">
      <c r="C821" s="90"/>
      <c r="D821" s="90"/>
      <c r="E821" s="67"/>
      <c r="F821" s="90"/>
      <c r="G821" s="107"/>
      <c r="H821" s="108"/>
      <c r="J821" s="109"/>
      <c r="K821" s="110"/>
      <c r="L821" s="110"/>
      <c r="M821" s="110"/>
      <c r="N821" s="110"/>
      <c r="O821" s="110"/>
      <c r="R821" s="101"/>
      <c r="S821" s="101"/>
    </row>
    <row r="822">
      <c r="C822" s="90"/>
      <c r="D822" s="90"/>
      <c r="E822" s="67"/>
      <c r="F822" s="90"/>
      <c r="G822" s="107"/>
      <c r="H822" s="108"/>
      <c r="J822" s="109"/>
      <c r="K822" s="110"/>
      <c r="L822" s="110"/>
      <c r="M822" s="110"/>
      <c r="N822" s="110"/>
      <c r="O822" s="110"/>
      <c r="R822" s="101"/>
      <c r="S822" s="101"/>
    </row>
    <row r="823">
      <c r="C823" s="90"/>
      <c r="D823" s="90"/>
      <c r="E823" s="67"/>
      <c r="F823" s="90"/>
      <c r="G823" s="107"/>
      <c r="H823" s="108"/>
      <c r="J823" s="109"/>
      <c r="K823" s="110"/>
      <c r="L823" s="110"/>
      <c r="M823" s="110"/>
      <c r="N823" s="110"/>
      <c r="O823" s="110"/>
      <c r="R823" s="101"/>
      <c r="S823" s="101"/>
    </row>
    <row r="824">
      <c r="C824" s="90"/>
      <c r="D824" s="90"/>
      <c r="E824" s="67"/>
      <c r="F824" s="90"/>
      <c r="G824" s="107"/>
      <c r="H824" s="108"/>
      <c r="J824" s="109"/>
      <c r="K824" s="110"/>
      <c r="L824" s="110"/>
      <c r="M824" s="110"/>
      <c r="N824" s="110"/>
      <c r="O824" s="110"/>
      <c r="R824" s="101"/>
      <c r="S824" s="101"/>
    </row>
    <row r="825">
      <c r="C825" s="90"/>
      <c r="D825" s="90"/>
      <c r="E825" s="67"/>
      <c r="F825" s="90"/>
      <c r="G825" s="107"/>
      <c r="H825" s="108"/>
      <c r="J825" s="109"/>
      <c r="K825" s="110"/>
      <c r="L825" s="110"/>
      <c r="M825" s="110"/>
      <c r="N825" s="110"/>
      <c r="O825" s="110"/>
      <c r="R825" s="101"/>
      <c r="S825" s="101"/>
    </row>
    <row r="826">
      <c r="C826" s="90"/>
      <c r="D826" s="90"/>
      <c r="E826" s="67"/>
      <c r="F826" s="90"/>
      <c r="G826" s="107"/>
      <c r="H826" s="108"/>
      <c r="J826" s="109"/>
      <c r="K826" s="110"/>
      <c r="L826" s="110"/>
      <c r="M826" s="110"/>
      <c r="N826" s="110"/>
      <c r="O826" s="110"/>
      <c r="R826" s="101"/>
      <c r="S826" s="101"/>
    </row>
    <row r="827">
      <c r="C827" s="90"/>
      <c r="D827" s="90"/>
      <c r="E827" s="67"/>
      <c r="F827" s="90"/>
      <c r="G827" s="107"/>
      <c r="H827" s="108"/>
      <c r="J827" s="109"/>
      <c r="K827" s="110"/>
      <c r="L827" s="110"/>
      <c r="M827" s="110"/>
      <c r="N827" s="110"/>
      <c r="O827" s="110"/>
      <c r="R827" s="101"/>
      <c r="S827" s="101"/>
    </row>
    <row r="828">
      <c r="C828" s="90"/>
      <c r="D828" s="90"/>
      <c r="E828" s="67"/>
      <c r="F828" s="90"/>
      <c r="G828" s="107"/>
      <c r="H828" s="108"/>
      <c r="J828" s="109"/>
      <c r="K828" s="110"/>
      <c r="L828" s="110"/>
      <c r="M828" s="110"/>
      <c r="N828" s="110"/>
      <c r="O828" s="110"/>
      <c r="R828" s="101"/>
      <c r="S828" s="101"/>
    </row>
    <row r="829">
      <c r="C829" s="90"/>
      <c r="D829" s="90"/>
      <c r="E829" s="67"/>
      <c r="F829" s="90"/>
      <c r="G829" s="107"/>
      <c r="H829" s="108"/>
      <c r="J829" s="109"/>
      <c r="K829" s="110"/>
      <c r="L829" s="110"/>
      <c r="M829" s="110"/>
      <c r="N829" s="110"/>
      <c r="O829" s="110"/>
      <c r="R829" s="101"/>
      <c r="S829" s="101"/>
    </row>
    <row r="830">
      <c r="C830" s="90"/>
      <c r="D830" s="90"/>
      <c r="E830" s="67"/>
      <c r="F830" s="90"/>
      <c r="G830" s="107"/>
      <c r="H830" s="108"/>
      <c r="J830" s="109"/>
      <c r="K830" s="110"/>
      <c r="L830" s="110"/>
      <c r="M830" s="110"/>
      <c r="N830" s="110"/>
      <c r="O830" s="110"/>
      <c r="R830" s="101"/>
      <c r="S830" s="101"/>
    </row>
    <row r="831">
      <c r="C831" s="90"/>
      <c r="D831" s="90"/>
      <c r="E831" s="67"/>
      <c r="F831" s="90"/>
      <c r="G831" s="107"/>
      <c r="H831" s="108"/>
      <c r="J831" s="109"/>
      <c r="K831" s="110"/>
      <c r="L831" s="110"/>
      <c r="M831" s="110"/>
      <c r="N831" s="110"/>
      <c r="O831" s="110"/>
      <c r="R831" s="101"/>
      <c r="S831" s="101"/>
    </row>
    <row r="832">
      <c r="C832" s="90"/>
      <c r="D832" s="90"/>
      <c r="E832" s="67"/>
      <c r="F832" s="90"/>
      <c r="G832" s="107"/>
      <c r="H832" s="108"/>
      <c r="J832" s="109"/>
      <c r="K832" s="110"/>
      <c r="L832" s="110"/>
      <c r="M832" s="110"/>
      <c r="N832" s="110"/>
      <c r="O832" s="110"/>
      <c r="R832" s="101"/>
      <c r="S832" s="101"/>
    </row>
    <row r="833">
      <c r="C833" s="90"/>
      <c r="D833" s="90"/>
      <c r="E833" s="67"/>
      <c r="F833" s="90"/>
      <c r="G833" s="107"/>
      <c r="H833" s="108"/>
      <c r="J833" s="109"/>
      <c r="K833" s="110"/>
      <c r="L833" s="110"/>
      <c r="M833" s="110"/>
      <c r="N833" s="110"/>
      <c r="O833" s="110"/>
      <c r="R833" s="101"/>
      <c r="S833" s="101"/>
    </row>
    <row r="834">
      <c r="C834" s="90"/>
      <c r="D834" s="90"/>
      <c r="E834" s="67"/>
      <c r="F834" s="90"/>
      <c r="G834" s="107"/>
      <c r="H834" s="108"/>
      <c r="J834" s="109"/>
      <c r="K834" s="110"/>
      <c r="L834" s="110"/>
      <c r="M834" s="110"/>
      <c r="N834" s="110"/>
      <c r="O834" s="110"/>
      <c r="R834" s="101"/>
      <c r="S834" s="101"/>
    </row>
    <row r="835">
      <c r="C835" s="90"/>
      <c r="D835" s="90"/>
      <c r="E835" s="67"/>
      <c r="F835" s="90"/>
      <c r="G835" s="107"/>
      <c r="H835" s="108"/>
      <c r="J835" s="109"/>
      <c r="K835" s="110"/>
      <c r="L835" s="110"/>
      <c r="M835" s="110"/>
      <c r="N835" s="110"/>
      <c r="O835" s="110"/>
      <c r="R835" s="101"/>
      <c r="S835" s="101"/>
    </row>
    <row r="836">
      <c r="C836" s="90"/>
      <c r="D836" s="90"/>
      <c r="E836" s="67"/>
      <c r="F836" s="90"/>
      <c r="G836" s="107"/>
      <c r="H836" s="108"/>
      <c r="J836" s="109"/>
      <c r="K836" s="110"/>
      <c r="L836" s="110"/>
      <c r="M836" s="110"/>
      <c r="N836" s="110"/>
      <c r="O836" s="110"/>
      <c r="R836" s="101"/>
      <c r="S836" s="101"/>
    </row>
    <row r="837">
      <c r="C837" s="90"/>
      <c r="D837" s="90"/>
      <c r="E837" s="67"/>
      <c r="F837" s="90"/>
      <c r="G837" s="107"/>
      <c r="H837" s="108"/>
      <c r="J837" s="109"/>
      <c r="K837" s="110"/>
      <c r="L837" s="110"/>
      <c r="M837" s="110"/>
      <c r="N837" s="110"/>
      <c r="O837" s="110"/>
      <c r="R837" s="101"/>
      <c r="S837" s="101"/>
    </row>
    <row r="838">
      <c r="C838" s="90"/>
      <c r="D838" s="90"/>
      <c r="E838" s="67"/>
      <c r="F838" s="90"/>
      <c r="G838" s="107"/>
      <c r="H838" s="108"/>
      <c r="J838" s="109"/>
      <c r="K838" s="110"/>
      <c r="L838" s="110"/>
      <c r="M838" s="110"/>
      <c r="N838" s="110"/>
      <c r="O838" s="110"/>
      <c r="R838" s="101"/>
      <c r="S838" s="101"/>
    </row>
    <row r="839">
      <c r="C839" s="90"/>
      <c r="D839" s="90"/>
      <c r="E839" s="67"/>
      <c r="F839" s="90"/>
      <c r="G839" s="107"/>
      <c r="H839" s="108"/>
      <c r="J839" s="109"/>
      <c r="K839" s="110"/>
      <c r="L839" s="110"/>
      <c r="M839" s="110"/>
      <c r="N839" s="110"/>
      <c r="O839" s="110"/>
      <c r="R839" s="101"/>
      <c r="S839" s="101"/>
    </row>
    <row r="840">
      <c r="C840" s="90"/>
      <c r="D840" s="90"/>
      <c r="E840" s="67"/>
      <c r="F840" s="90"/>
      <c r="G840" s="107"/>
      <c r="H840" s="108"/>
      <c r="J840" s="109"/>
      <c r="K840" s="110"/>
      <c r="L840" s="110"/>
      <c r="M840" s="110"/>
      <c r="N840" s="110"/>
      <c r="O840" s="110"/>
      <c r="R840" s="101"/>
      <c r="S840" s="101"/>
    </row>
    <row r="841">
      <c r="C841" s="90"/>
      <c r="D841" s="90"/>
      <c r="E841" s="67"/>
      <c r="F841" s="90"/>
      <c r="G841" s="107"/>
      <c r="H841" s="108"/>
      <c r="J841" s="109"/>
      <c r="K841" s="110"/>
      <c r="L841" s="110"/>
      <c r="M841" s="110"/>
      <c r="N841" s="110"/>
      <c r="O841" s="110"/>
      <c r="R841" s="101"/>
      <c r="S841" s="101"/>
    </row>
    <row r="842">
      <c r="C842" s="90"/>
      <c r="D842" s="90"/>
      <c r="E842" s="67"/>
      <c r="F842" s="90"/>
      <c r="G842" s="107"/>
      <c r="H842" s="108"/>
      <c r="J842" s="109"/>
      <c r="K842" s="110"/>
      <c r="L842" s="110"/>
      <c r="M842" s="110"/>
      <c r="N842" s="110"/>
      <c r="O842" s="110"/>
      <c r="R842" s="101"/>
      <c r="S842" s="101"/>
    </row>
    <row r="843">
      <c r="C843" s="90"/>
      <c r="D843" s="90"/>
      <c r="E843" s="67"/>
      <c r="F843" s="90"/>
      <c r="G843" s="107"/>
      <c r="H843" s="108"/>
      <c r="J843" s="109"/>
      <c r="K843" s="110"/>
      <c r="L843" s="110"/>
      <c r="M843" s="110"/>
      <c r="N843" s="110"/>
      <c r="O843" s="110"/>
      <c r="R843" s="101"/>
      <c r="S843" s="101"/>
    </row>
    <row r="844">
      <c r="C844" s="90"/>
      <c r="D844" s="90"/>
      <c r="E844" s="67"/>
      <c r="F844" s="90"/>
      <c r="G844" s="107"/>
      <c r="H844" s="108"/>
      <c r="J844" s="109"/>
      <c r="K844" s="110"/>
      <c r="L844" s="110"/>
      <c r="M844" s="110"/>
      <c r="N844" s="110"/>
      <c r="O844" s="110"/>
      <c r="R844" s="101"/>
      <c r="S844" s="101"/>
    </row>
    <row r="845">
      <c r="C845" s="90"/>
      <c r="D845" s="90"/>
      <c r="E845" s="67"/>
      <c r="F845" s="90"/>
      <c r="G845" s="107"/>
      <c r="H845" s="108"/>
      <c r="J845" s="109"/>
      <c r="K845" s="110"/>
      <c r="L845" s="110"/>
      <c r="M845" s="110"/>
      <c r="N845" s="110"/>
      <c r="O845" s="110"/>
      <c r="R845" s="101"/>
      <c r="S845" s="101"/>
    </row>
    <row r="846">
      <c r="C846" s="90"/>
      <c r="D846" s="90"/>
      <c r="E846" s="67"/>
      <c r="F846" s="90"/>
      <c r="G846" s="107"/>
      <c r="H846" s="108"/>
      <c r="J846" s="109"/>
      <c r="K846" s="110"/>
      <c r="L846" s="110"/>
      <c r="M846" s="110"/>
      <c r="N846" s="110"/>
      <c r="O846" s="110"/>
      <c r="R846" s="101"/>
      <c r="S846" s="101"/>
    </row>
    <row r="847">
      <c r="C847" s="90"/>
      <c r="D847" s="90"/>
      <c r="E847" s="67"/>
      <c r="F847" s="90"/>
      <c r="G847" s="107"/>
      <c r="H847" s="108"/>
      <c r="J847" s="109"/>
      <c r="K847" s="110"/>
      <c r="L847" s="110"/>
      <c r="M847" s="110"/>
      <c r="N847" s="110"/>
      <c r="O847" s="110"/>
      <c r="R847" s="101"/>
      <c r="S847" s="101"/>
    </row>
    <row r="848">
      <c r="C848" s="90"/>
      <c r="D848" s="90"/>
      <c r="E848" s="67"/>
      <c r="F848" s="90"/>
      <c r="G848" s="107"/>
      <c r="H848" s="108"/>
      <c r="J848" s="109"/>
      <c r="K848" s="110"/>
      <c r="L848" s="110"/>
      <c r="M848" s="110"/>
      <c r="N848" s="110"/>
      <c r="O848" s="110"/>
      <c r="R848" s="101"/>
      <c r="S848" s="101"/>
    </row>
    <row r="849">
      <c r="C849" s="90"/>
      <c r="D849" s="90"/>
      <c r="E849" s="67"/>
      <c r="F849" s="90"/>
      <c r="G849" s="107"/>
      <c r="H849" s="108"/>
      <c r="J849" s="109"/>
      <c r="K849" s="110"/>
      <c r="L849" s="110"/>
      <c r="M849" s="110"/>
      <c r="N849" s="110"/>
      <c r="O849" s="110"/>
      <c r="R849" s="101"/>
      <c r="S849" s="101"/>
    </row>
    <row r="850">
      <c r="C850" s="90"/>
      <c r="D850" s="90"/>
      <c r="E850" s="67"/>
      <c r="F850" s="90"/>
      <c r="G850" s="107"/>
      <c r="H850" s="108"/>
      <c r="J850" s="109"/>
      <c r="K850" s="110"/>
      <c r="L850" s="110"/>
      <c r="M850" s="110"/>
      <c r="N850" s="110"/>
      <c r="O850" s="110"/>
      <c r="R850" s="101"/>
      <c r="S850" s="101"/>
    </row>
    <row r="851">
      <c r="C851" s="90"/>
      <c r="D851" s="90"/>
      <c r="E851" s="67"/>
      <c r="F851" s="90"/>
      <c r="G851" s="107"/>
      <c r="H851" s="108"/>
      <c r="J851" s="109"/>
      <c r="K851" s="110"/>
      <c r="L851" s="110"/>
      <c r="M851" s="110"/>
      <c r="N851" s="110"/>
      <c r="O851" s="110"/>
      <c r="R851" s="101"/>
      <c r="S851" s="101"/>
    </row>
    <row r="852">
      <c r="C852" s="90"/>
      <c r="D852" s="90"/>
      <c r="E852" s="67"/>
      <c r="F852" s="90"/>
      <c r="G852" s="107"/>
      <c r="H852" s="108"/>
      <c r="J852" s="109"/>
      <c r="K852" s="110"/>
      <c r="L852" s="110"/>
      <c r="M852" s="110"/>
      <c r="N852" s="110"/>
      <c r="O852" s="110"/>
      <c r="R852" s="101"/>
      <c r="S852" s="101"/>
    </row>
    <row r="853">
      <c r="C853" s="90"/>
      <c r="D853" s="90"/>
      <c r="E853" s="67"/>
      <c r="F853" s="90"/>
      <c r="G853" s="107"/>
      <c r="H853" s="108"/>
      <c r="J853" s="109"/>
      <c r="K853" s="110"/>
      <c r="L853" s="110"/>
      <c r="M853" s="110"/>
      <c r="N853" s="110"/>
      <c r="O853" s="110"/>
      <c r="R853" s="101"/>
      <c r="S853" s="101"/>
    </row>
    <row r="854">
      <c r="C854" s="90"/>
      <c r="D854" s="90"/>
      <c r="E854" s="67"/>
      <c r="F854" s="90"/>
      <c r="G854" s="107"/>
      <c r="H854" s="108"/>
      <c r="J854" s="109"/>
      <c r="K854" s="110"/>
      <c r="L854" s="110"/>
      <c r="M854" s="110"/>
      <c r="N854" s="110"/>
      <c r="O854" s="110"/>
      <c r="R854" s="101"/>
      <c r="S854" s="101"/>
    </row>
    <row r="855">
      <c r="C855" s="90"/>
      <c r="D855" s="90"/>
      <c r="E855" s="67"/>
      <c r="F855" s="90"/>
      <c r="G855" s="107"/>
      <c r="H855" s="108"/>
      <c r="J855" s="109"/>
      <c r="K855" s="110"/>
      <c r="L855" s="110"/>
      <c r="M855" s="110"/>
      <c r="N855" s="110"/>
      <c r="O855" s="110"/>
      <c r="R855" s="101"/>
      <c r="S855" s="101"/>
    </row>
    <row r="856">
      <c r="C856" s="90"/>
      <c r="D856" s="90"/>
      <c r="E856" s="67"/>
      <c r="F856" s="90"/>
      <c r="G856" s="107"/>
      <c r="H856" s="108"/>
      <c r="J856" s="109"/>
      <c r="K856" s="110"/>
      <c r="L856" s="110"/>
      <c r="M856" s="110"/>
      <c r="N856" s="110"/>
      <c r="O856" s="110"/>
      <c r="R856" s="101"/>
      <c r="S856" s="101"/>
    </row>
    <row r="857">
      <c r="C857" s="90"/>
      <c r="D857" s="90"/>
      <c r="E857" s="67"/>
      <c r="F857" s="90"/>
      <c r="G857" s="107"/>
      <c r="H857" s="108"/>
      <c r="J857" s="109"/>
      <c r="K857" s="110"/>
      <c r="L857" s="110"/>
      <c r="M857" s="110"/>
      <c r="N857" s="110"/>
      <c r="O857" s="110"/>
      <c r="R857" s="101"/>
      <c r="S857" s="101"/>
    </row>
    <row r="858">
      <c r="C858" s="90"/>
      <c r="D858" s="90"/>
      <c r="E858" s="67"/>
      <c r="F858" s="90"/>
      <c r="G858" s="107"/>
      <c r="H858" s="108"/>
      <c r="J858" s="109"/>
      <c r="K858" s="110"/>
      <c r="L858" s="110"/>
      <c r="M858" s="110"/>
      <c r="N858" s="110"/>
      <c r="O858" s="110"/>
      <c r="R858" s="101"/>
      <c r="S858" s="101"/>
    </row>
    <row r="859">
      <c r="C859" s="90"/>
      <c r="D859" s="90"/>
      <c r="E859" s="67"/>
      <c r="F859" s="90"/>
      <c r="G859" s="107"/>
      <c r="H859" s="108"/>
      <c r="J859" s="109"/>
      <c r="K859" s="110"/>
      <c r="L859" s="110"/>
      <c r="M859" s="110"/>
      <c r="N859" s="110"/>
      <c r="O859" s="110"/>
      <c r="R859" s="101"/>
      <c r="S859" s="101"/>
    </row>
    <row r="860">
      <c r="C860" s="90"/>
      <c r="D860" s="90"/>
      <c r="E860" s="67"/>
      <c r="F860" s="90"/>
      <c r="G860" s="107"/>
      <c r="H860" s="108"/>
      <c r="J860" s="109"/>
      <c r="K860" s="110"/>
      <c r="L860" s="110"/>
      <c r="M860" s="110"/>
      <c r="N860" s="110"/>
      <c r="O860" s="110"/>
      <c r="R860" s="101"/>
      <c r="S860" s="101"/>
    </row>
    <row r="861">
      <c r="C861" s="90"/>
      <c r="D861" s="90"/>
      <c r="E861" s="67"/>
      <c r="F861" s="90"/>
      <c r="G861" s="107"/>
      <c r="H861" s="108"/>
      <c r="J861" s="109"/>
      <c r="K861" s="110"/>
      <c r="L861" s="110"/>
      <c r="M861" s="110"/>
      <c r="N861" s="110"/>
      <c r="O861" s="110"/>
      <c r="R861" s="101"/>
      <c r="S861" s="101"/>
    </row>
    <row r="862">
      <c r="C862" s="90"/>
      <c r="D862" s="90"/>
      <c r="E862" s="67"/>
      <c r="F862" s="90"/>
      <c r="G862" s="107"/>
      <c r="H862" s="108"/>
      <c r="J862" s="109"/>
      <c r="K862" s="110"/>
      <c r="L862" s="110"/>
      <c r="M862" s="110"/>
      <c r="N862" s="110"/>
      <c r="O862" s="110"/>
      <c r="R862" s="101"/>
      <c r="S862" s="101"/>
    </row>
    <row r="863">
      <c r="C863" s="90"/>
      <c r="D863" s="90"/>
      <c r="E863" s="67"/>
      <c r="F863" s="90"/>
      <c r="G863" s="107"/>
      <c r="H863" s="108"/>
      <c r="J863" s="109"/>
      <c r="K863" s="110"/>
      <c r="L863" s="110"/>
      <c r="M863" s="110"/>
      <c r="N863" s="110"/>
      <c r="O863" s="110"/>
      <c r="R863" s="101"/>
      <c r="S863" s="101"/>
    </row>
    <row r="864">
      <c r="C864" s="90"/>
      <c r="D864" s="90"/>
      <c r="E864" s="67"/>
      <c r="F864" s="90"/>
      <c r="G864" s="107"/>
      <c r="H864" s="108"/>
      <c r="J864" s="109"/>
      <c r="K864" s="110"/>
      <c r="L864" s="110"/>
      <c r="M864" s="110"/>
      <c r="N864" s="110"/>
      <c r="O864" s="110"/>
      <c r="R864" s="101"/>
      <c r="S864" s="101"/>
    </row>
    <row r="865">
      <c r="C865" s="90"/>
      <c r="D865" s="90"/>
      <c r="E865" s="67"/>
      <c r="F865" s="90"/>
      <c r="G865" s="107"/>
      <c r="H865" s="108"/>
      <c r="J865" s="109"/>
      <c r="K865" s="110"/>
      <c r="L865" s="110"/>
      <c r="M865" s="110"/>
      <c r="N865" s="110"/>
      <c r="O865" s="110"/>
      <c r="R865" s="101"/>
      <c r="S865" s="101"/>
    </row>
    <row r="866">
      <c r="C866" s="90"/>
      <c r="D866" s="90"/>
      <c r="E866" s="67"/>
      <c r="F866" s="90"/>
      <c r="G866" s="107"/>
      <c r="H866" s="108"/>
      <c r="J866" s="109"/>
      <c r="K866" s="110"/>
      <c r="L866" s="110"/>
      <c r="M866" s="110"/>
      <c r="N866" s="110"/>
      <c r="O866" s="110"/>
      <c r="R866" s="101"/>
      <c r="S866" s="101"/>
    </row>
    <row r="867">
      <c r="C867" s="90"/>
      <c r="D867" s="90"/>
      <c r="E867" s="67"/>
      <c r="F867" s="90"/>
      <c r="G867" s="107"/>
      <c r="H867" s="108"/>
      <c r="J867" s="109"/>
      <c r="K867" s="110"/>
      <c r="L867" s="110"/>
      <c r="M867" s="110"/>
      <c r="N867" s="110"/>
      <c r="O867" s="110"/>
      <c r="R867" s="101"/>
      <c r="S867" s="101"/>
    </row>
    <row r="868">
      <c r="C868" s="90"/>
      <c r="D868" s="90"/>
      <c r="E868" s="67"/>
      <c r="F868" s="90"/>
      <c r="G868" s="107"/>
      <c r="H868" s="108"/>
      <c r="J868" s="109"/>
      <c r="K868" s="110"/>
      <c r="L868" s="110"/>
      <c r="M868" s="110"/>
      <c r="N868" s="110"/>
      <c r="O868" s="110"/>
      <c r="R868" s="101"/>
      <c r="S868" s="101"/>
    </row>
    <row r="869">
      <c r="E869" s="67"/>
      <c r="F869" s="90"/>
      <c r="G869" s="107"/>
      <c r="H869" s="108"/>
      <c r="J869" s="109"/>
      <c r="K869" s="110"/>
      <c r="L869" s="110"/>
      <c r="M869" s="110"/>
      <c r="N869" s="110"/>
      <c r="O869" s="110"/>
      <c r="R869" s="101"/>
      <c r="S869" s="101"/>
    </row>
    <row r="870">
      <c r="E870" s="67"/>
      <c r="F870" s="90"/>
      <c r="G870" s="107"/>
      <c r="H870" s="108"/>
      <c r="J870" s="109"/>
      <c r="K870" s="110"/>
      <c r="L870" s="110"/>
      <c r="M870" s="110"/>
      <c r="N870" s="110"/>
      <c r="O870" s="110"/>
      <c r="R870" s="101"/>
      <c r="S870" s="101"/>
    </row>
    <row r="871">
      <c r="E871" s="67"/>
      <c r="F871" s="90"/>
      <c r="G871" s="107"/>
      <c r="H871" s="108"/>
      <c r="J871" s="109"/>
      <c r="K871" s="110"/>
      <c r="L871" s="110"/>
      <c r="M871" s="110"/>
      <c r="N871" s="110"/>
      <c r="O871" s="110"/>
      <c r="R871" s="101"/>
      <c r="S871" s="101"/>
    </row>
    <row r="872">
      <c r="E872" s="67"/>
      <c r="F872" s="90"/>
      <c r="G872" s="107"/>
      <c r="H872" s="108"/>
      <c r="J872" s="109"/>
      <c r="K872" s="110"/>
      <c r="L872" s="110"/>
      <c r="M872" s="110"/>
      <c r="N872" s="110"/>
      <c r="O872" s="110"/>
      <c r="R872" s="101"/>
      <c r="S872" s="101"/>
    </row>
    <row r="873">
      <c r="E873" s="67"/>
      <c r="F873" s="90"/>
      <c r="G873" s="107"/>
      <c r="H873" s="108"/>
      <c r="J873" s="109"/>
      <c r="K873" s="110"/>
      <c r="L873" s="110"/>
      <c r="M873" s="110"/>
      <c r="N873" s="110"/>
      <c r="O873" s="110"/>
      <c r="R873" s="101"/>
      <c r="S873" s="101"/>
    </row>
    <row r="874">
      <c r="E874" s="67"/>
      <c r="F874" s="90"/>
      <c r="G874" s="107"/>
      <c r="H874" s="108"/>
      <c r="J874" s="109"/>
      <c r="K874" s="110"/>
      <c r="L874" s="110"/>
      <c r="M874" s="110"/>
      <c r="N874" s="110"/>
      <c r="O874" s="110"/>
      <c r="R874" s="101"/>
      <c r="S874" s="101"/>
    </row>
    <row r="875">
      <c r="E875" s="67"/>
      <c r="F875" s="90"/>
      <c r="G875" s="107"/>
      <c r="H875" s="108"/>
      <c r="J875" s="109"/>
      <c r="K875" s="110"/>
      <c r="L875" s="110"/>
      <c r="M875" s="110"/>
      <c r="N875" s="110"/>
      <c r="O875" s="110"/>
      <c r="R875" s="101"/>
      <c r="S875" s="101"/>
    </row>
    <row r="876">
      <c r="E876" s="67"/>
      <c r="F876" s="90"/>
      <c r="G876" s="107"/>
      <c r="H876" s="108"/>
      <c r="J876" s="109"/>
      <c r="K876" s="110"/>
      <c r="L876" s="110"/>
      <c r="M876" s="110"/>
      <c r="N876" s="110"/>
      <c r="O876" s="110"/>
      <c r="R876" s="101"/>
      <c r="S876" s="101"/>
    </row>
    <row r="877">
      <c r="E877" s="67"/>
      <c r="F877" s="90"/>
      <c r="G877" s="107"/>
      <c r="H877" s="108"/>
      <c r="J877" s="109"/>
      <c r="K877" s="110"/>
      <c r="L877" s="110"/>
      <c r="M877" s="110"/>
      <c r="N877" s="110"/>
      <c r="O877" s="110"/>
      <c r="R877" s="101"/>
      <c r="S877" s="101"/>
    </row>
    <row r="878">
      <c r="E878" s="67"/>
      <c r="F878" s="90"/>
      <c r="G878" s="107"/>
      <c r="H878" s="108"/>
      <c r="J878" s="109"/>
      <c r="K878" s="110"/>
      <c r="L878" s="110"/>
      <c r="M878" s="110"/>
      <c r="N878" s="110"/>
      <c r="O878" s="110"/>
      <c r="R878" s="101"/>
      <c r="S878" s="101"/>
    </row>
    <row r="879">
      <c r="E879" s="67"/>
      <c r="F879" s="90"/>
      <c r="G879" s="107"/>
      <c r="H879" s="108"/>
      <c r="J879" s="109"/>
      <c r="K879" s="110"/>
      <c r="L879" s="110"/>
      <c r="M879" s="110"/>
      <c r="N879" s="110"/>
      <c r="O879" s="110"/>
      <c r="R879" s="101"/>
      <c r="S879" s="101"/>
    </row>
    <row r="880">
      <c r="E880" s="67"/>
      <c r="F880" s="90"/>
      <c r="G880" s="107"/>
      <c r="H880" s="108"/>
      <c r="J880" s="109"/>
      <c r="K880" s="110"/>
      <c r="L880" s="110"/>
      <c r="M880" s="110"/>
      <c r="N880" s="110"/>
      <c r="O880" s="110"/>
      <c r="R880" s="101"/>
      <c r="S880" s="101"/>
    </row>
    <row r="881">
      <c r="E881" s="67"/>
      <c r="F881" s="90"/>
      <c r="G881" s="107"/>
      <c r="H881" s="108"/>
      <c r="J881" s="109"/>
      <c r="K881" s="110"/>
      <c r="L881" s="110"/>
      <c r="M881" s="110"/>
      <c r="N881" s="110"/>
      <c r="O881" s="110"/>
      <c r="R881" s="101"/>
      <c r="S881" s="101"/>
    </row>
    <row r="882">
      <c r="E882" s="67"/>
      <c r="F882" s="90"/>
      <c r="G882" s="107"/>
      <c r="H882" s="108"/>
      <c r="J882" s="109"/>
      <c r="K882" s="110"/>
      <c r="L882" s="110"/>
      <c r="M882" s="110"/>
      <c r="N882" s="110"/>
      <c r="O882" s="110"/>
      <c r="R882" s="101"/>
      <c r="S882" s="101"/>
    </row>
    <row r="883">
      <c r="E883" s="67"/>
      <c r="F883" s="90"/>
      <c r="G883" s="107"/>
      <c r="H883" s="108"/>
      <c r="J883" s="109"/>
      <c r="K883" s="110"/>
      <c r="L883" s="110"/>
      <c r="M883" s="110"/>
      <c r="N883" s="110"/>
      <c r="O883" s="110"/>
      <c r="R883" s="101"/>
      <c r="S883" s="101"/>
    </row>
    <row r="884">
      <c r="E884" s="67"/>
      <c r="F884" s="90"/>
      <c r="G884" s="107"/>
      <c r="H884" s="108"/>
      <c r="J884" s="109"/>
      <c r="K884" s="110"/>
      <c r="L884" s="110"/>
      <c r="M884" s="110"/>
      <c r="N884" s="110"/>
      <c r="O884" s="110"/>
      <c r="R884" s="101"/>
      <c r="S884" s="101"/>
    </row>
    <row r="885">
      <c r="E885" s="67"/>
      <c r="F885" s="90"/>
      <c r="G885" s="107"/>
      <c r="H885" s="108"/>
      <c r="J885" s="109"/>
      <c r="K885" s="110"/>
      <c r="L885" s="110"/>
      <c r="M885" s="110"/>
      <c r="N885" s="110"/>
      <c r="O885" s="110"/>
      <c r="R885" s="101"/>
      <c r="S885" s="101"/>
    </row>
    <row r="886">
      <c r="E886" s="67"/>
      <c r="F886" s="90"/>
      <c r="G886" s="107"/>
      <c r="H886" s="108"/>
      <c r="J886" s="109"/>
      <c r="K886" s="110"/>
      <c r="L886" s="110"/>
      <c r="M886" s="110"/>
      <c r="N886" s="110"/>
      <c r="O886" s="110"/>
      <c r="R886" s="101"/>
      <c r="S886" s="101"/>
    </row>
    <row r="887">
      <c r="E887" s="67"/>
      <c r="F887" s="90"/>
      <c r="G887" s="107"/>
      <c r="H887" s="108"/>
      <c r="J887" s="109"/>
      <c r="K887" s="110"/>
      <c r="L887" s="110"/>
      <c r="M887" s="110"/>
      <c r="N887" s="110"/>
      <c r="O887" s="110"/>
      <c r="R887" s="101"/>
      <c r="S887" s="101"/>
    </row>
    <row r="888">
      <c r="E888" s="67"/>
      <c r="F888" s="90"/>
      <c r="G888" s="107"/>
      <c r="H888" s="108"/>
      <c r="J888" s="109"/>
      <c r="K888" s="110"/>
      <c r="L888" s="110"/>
      <c r="M888" s="110"/>
      <c r="N888" s="110"/>
      <c r="O888" s="110"/>
      <c r="R888" s="101"/>
      <c r="S888" s="101"/>
    </row>
    <row r="889">
      <c r="E889" s="67"/>
      <c r="F889" s="90"/>
      <c r="G889" s="107"/>
      <c r="H889" s="108"/>
      <c r="J889" s="109"/>
      <c r="K889" s="110"/>
      <c r="L889" s="110"/>
      <c r="M889" s="110"/>
      <c r="N889" s="110"/>
      <c r="O889" s="110"/>
      <c r="R889" s="101"/>
      <c r="S889" s="101"/>
    </row>
    <row r="890">
      <c r="E890" s="67"/>
      <c r="F890" s="90"/>
      <c r="G890" s="107"/>
      <c r="H890" s="108"/>
      <c r="J890" s="109"/>
      <c r="K890" s="110"/>
      <c r="L890" s="110"/>
      <c r="M890" s="110"/>
      <c r="N890" s="110"/>
      <c r="O890" s="110"/>
      <c r="R890" s="101"/>
      <c r="S890" s="101"/>
    </row>
    <row r="891">
      <c r="E891" s="67"/>
      <c r="F891" s="90"/>
      <c r="G891" s="107"/>
      <c r="H891" s="108"/>
      <c r="J891" s="109"/>
      <c r="K891" s="110"/>
      <c r="L891" s="110"/>
      <c r="M891" s="110"/>
      <c r="N891" s="110"/>
      <c r="O891" s="110"/>
      <c r="R891" s="101"/>
      <c r="S891" s="101"/>
    </row>
    <row r="892">
      <c r="E892" s="67"/>
      <c r="F892" s="90"/>
      <c r="G892" s="107"/>
      <c r="H892" s="108"/>
      <c r="J892" s="109"/>
      <c r="K892" s="110"/>
      <c r="L892" s="110"/>
      <c r="M892" s="110"/>
      <c r="N892" s="110"/>
      <c r="O892" s="110"/>
      <c r="R892" s="101"/>
      <c r="S892" s="101"/>
    </row>
    <row r="893">
      <c r="E893" s="67"/>
      <c r="F893" s="90"/>
      <c r="G893" s="107"/>
      <c r="H893" s="108"/>
      <c r="J893" s="109"/>
      <c r="K893" s="110"/>
      <c r="L893" s="110"/>
      <c r="M893" s="110"/>
      <c r="N893" s="110"/>
      <c r="O893" s="110"/>
      <c r="R893" s="101"/>
      <c r="S893" s="101"/>
    </row>
    <row r="894">
      <c r="E894" s="67"/>
      <c r="F894" s="90"/>
      <c r="G894" s="107"/>
      <c r="H894" s="108"/>
      <c r="J894" s="109"/>
      <c r="K894" s="110"/>
      <c r="L894" s="110"/>
      <c r="M894" s="110"/>
      <c r="N894" s="110"/>
      <c r="O894" s="110"/>
      <c r="R894" s="101"/>
      <c r="S894" s="101"/>
    </row>
    <row r="895">
      <c r="E895" s="67"/>
      <c r="F895" s="90"/>
      <c r="G895" s="107"/>
      <c r="H895" s="108"/>
      <c r="J895" s="109"/>
      <c r="K895" s="110"/>
      <c r="L895" s="110"/>
      <c r="M895" s="110"/>
      <c r="N895" s="110"/>
      <c r="O895" s="110"/>
      <c r="R895" s="101"/>
      <c r="S895" s="101"/>
    </row>
    <row r="896">
      <c r="E896" s="67"/>
      <c r="F896" s="90"/>
      <c r="G896" s="107"/>
      <c r="H896" s="108"/>
      <c r="J896" s="109"/>
      <c r="K896" s="110"/>
      <c r="L896" s="110"/>
      <c r="M896" s="110"/>
      <c r="N896" s="110"/>
      <c r="O896" s="110"/>
      <c r="R896" s="101"/>
      <c r="S896" s="101"/>
    </row>
    <row r="897">
      <c r="E897" s="67"/>
      <c r="F897" s="90"/>
      <c r="G897" s="107"/>
      <c r="H897" s="108"/>
      <c r="J897" s="109"/>
      <c r="K897" s="110"/>
      <c r="L897" s="110"/>
      <c r="M897" s="110"/>
      <c r="N897" s="110"/>
      <c r="O897" s="110"/>
      <c r="R897" s="101"/>
      <c r="S897" s="101"/>
    </row>
    <row r="898">
      <c r="E898" s="67"/>
      <c r="F898" s="90"/>
      <c r="G898" s="107"/>
      <c r="H898" s="108"/>
      <c r="J898" s="109"/>
      <c r="K898" s="110"/>
      <c r="L898" s="110"/>
      <c r="M898" s="110"/>
      <c r="N898" s="110"/>
      <c r="O898" s="110"/>
      <c r="R898" s="101"/>
      <c r="S898" s="101"/>
    </row>
    <row r="899">
      <c r="E899" s="67"/>
      <c r="F899" s="90"/>
      <c r="G899" s="107"/>
      <c r="H899" s="108"/>
      <c r="J899" s="109"/>
      <c r="K899" s="110"/>
      <c r="L899" s="110"/>
      <c r="M899" s="110"/>
      <c r="N899" s="110"/>
      <c r="O899" s="110"/>
      <c r="R899" s="101"/>
      <c r="S899" s="101"/>
    </row>
    <row r="900">
      <c r="E900" s="67"/>
      <c r="F900" s="90"/>
      <c r="G900" s="107"/>
      <c r="H900" s="108"/>
      <c r="J900" s="109"/>
      <c r="K900" s="110"/>
      <c r="L900" s="110"/>
      <c r="M900" s="110"/>
      <c r="N900" s="110"/>
      <c r="O900" s="110"/>
      <c r="R900" s="101"/>
      <c r="S900" s="101"/>
    </row>
    <row r="901">
      <c r="E901" s="67"/>
      <c r="F901" s="90"/>
      <c r="G901" s="107"/>
      <c r="H901" s="108"/>
      <c r="J901" s="109"/>
      <c r="K901" s="110"/>
      <c r="L901" s="110"/>
      <c r="M901" s="110"/>
      <c r="N901" s="110"/>
      <c r="O901" s="110"/>
      <c r="R901" s="101"/>
      <c r="S901" s="101"/>
    </row>
    <row r="902">
      <c r="E902" s="67"/>
      <c r="F902" s="90"/>
      <c r="G902" s="107"/>
      <c r="H902" s="108"/>
      <c r="J902" s="109"/>
      <c r="K902" s="110"/>
      <c r="L902" s="110"/>
      <c r="M902" s="110"/>
      <c r="N902" s="110"/>
      <c r="O902" s="110"/>
      <c r="R902" s="101"/>
      <c r="S902" s="101"/>
    </row>
    <row r="903">
      <c r="E903" s="67"/>
      <c r="F903" s="90"/>
      <c r="G903" s="107"/>
      <c r="H903" s="108"/>
      <c r="J903" s="109"/>
      <c r="K903" s="110"/>
      <c r="L903" s="110"/>
      <c r="M903" s="110"/>
      <c r="N903" s="110"/>
      <c r="O903" s="110"/>
      <c r="R903" s="101"/>
      <c r="S903" s="101"/>
    </row>
    <row r="904">
      <c r="E904" s="67"/>
      <c r="F904" s="90"/>
      <c r="G904" s="107"/>
      <c r="H904" s="108"/>
      <c r="J904" s="109"/>
      <c r="K904" s="110"/>
      <c r="L904" s="110"/>
      <c r="M904" s="110"/>
      <c r="N904" s="110"/>
      <c r="O904" s="110"/>
      <c r="R904" s="101"/>
      <c r="S904" s="101"/>
    </row>
    <row r="905">
      <c r="E905" s="67"/>
      <c r="F905" s="90"/>
      <c r="G905" s="107"/>
      <c r="H905" s="108"/>
      <c r="J905" s="109"/>
      <c r="K905" s="110"/>
      <c r="L905" s="110"/>
      <c r="M905" s="110"/>
      <c r="N905" s="110"/>
      <c r="O905" s="110"/>
      <c r="R905" s="101"/>
      <c r="S905" s="101"/>
    </row>
    <row r="906">
      <c r="E906" s="67"/>
      <c r="F906" s="90"/>
      <c r="G906" s="107"/>
      <c r="H906" s="108"/>
      <c r="J906" s="109"/>
      <c r="K906" s="110"/>
      <c r="L906" s="110"/>
      <c r="M906" s="110"/>
      <c r="N906" s="110"/>
      <c r="O906" s="110"/>
      <c r="R906" s="101"/>
      <c r="S906" s="101"/>
    </row>
    <row r="907">
      <c r="E907" s="67"/>
      <c r="F907" s="90"/>
      <c r="G907" s="107"/>
      <c r="H907" s="108"/>
      <c r="J907" s="109"/>
      <c r="K907" s="110"/>
      <c r="L907" s="110"/>
      <c r="M907" s="110"/>
      <c r="N907" s="110"/>
      <c r="O907" s="110"/>
      <c r="R907" s="101"/>
      <c r="S907" s="101"/>
    </row>
    <row r="908">
      <c r="E908" s="67"/>
      <c r="F908" s="90"/>
      <c r="G908" s="107"/>
      <c r="H908" s="108"/>
      <c r="J908" s="109"/>
      <c r="K908" s="110"/>
      <c r="L908" s="110"/>
      <c r="M908" s="110"/>
      <c r="N908" s="110"/>
      <c r="O908" s="110"/>
      <c r="R908" s="101"/>
      <c r="S908" s="101"/>
    </row>
    <row r="909">
      <c r="E909" s="67"/>
      <c r="F909" s="90"/>
      <c r="G909" s="107"/>
      <c r="H909" s="108"/>
      <c r="J909" s="109"/>
      <c r="K909" s="110"/>
      <c r="L909" s="110"/>
      <c r="M909" s="110"/>
      <c r="N909" s="110"/>
      <c r="O909" s="110"/>
      <c r="R909" s="101"/>
      <c r="S909" s="101"/>
    </row>
    <row r="910">
      <c r="E910" s="67"/>
      <c r="F910" s="90"/>
      <c r="G910" s="107"/>
      <c r="H910" s="108"/>
      <c r="J910" s="109"/>
      <c r="K910" s="110"/>
      <c r="L910" s="110"/>
      <c r="M910" s="110"/>
      <c r="N910" s="110"/>
      <c r="O910" s="110"/>
      <c r="R910" s="101"/>
      <c r="S910" s="101"/>
    </row>
    <row r="911">
      <c r="E911" s="67"/>
      <c r="F911" s="90"/>
      <c r="G911" s="107"/>
      <c r="H911" s="108"/>
      <c r="J911" s="109"/>
      <c r="K911" s="110"/>
      <c r="L911" s="110"/>
      <c r="M911" s="110"/>
      <c r="N911" s="110"/>
      <c r="O911" s="110"/>
      <c r="R911" s="101"/>
      <c r="S911" s="101"/>
    </row>
    <row r="912">
      <c r="E912" s="67"/>
      <c r="F912" s="90"/>
      <c r="G912" s="107"/>
      <c r="H912" s="108"/>
      <c r="J912" s="109"/>
      <c r="K912" s="110"/>
      <c r="L912" s="110"/>
      <c r="M912" s="110"/>
      <c r="N912" s="110"/>
      <c r="O912" s="110"/>
      <c r="R912" s="101"/>
      <c r="S912" s="101"/>
    </row>
    <row r="913">
      <c r="E913" s="67"/>
      <c r="F913" s="90"/>
      <c r="G913" s="107"/>
      <c r="H913" s="108"/>
      <c r="J913" s="109"/>
      <c r="K913" s="110"/>
      <c r="L913" s="110"/>
      <c r="M913" s="110"/>
      <c r="N913" s="110"/>
      <c r="O913" s="110"/>
      <c r="R913" s="101"/>
      <c r="S913" s="101"/>
    </row>
    <row r="914">
      <c r="E914" s="67"/>
      <c r="F914" s="90"/>
      <c r="G914" s="107"/>
      <c r="H914" s="108"/>
      <c r="J914" s="109"/>
      <c r="K914" s="110"/>
      <c r="L914" s="110"/>
      <c r="M914" s="110"/>
      <c r="N914" s="110"/>
      <c r="O914" s="110"/>
      <c r="R914" s="101"/>
      <c r="S914" s="101"/>
    </row>
    <row r="915">
      <c r="E915" s="67"/>
      <c r="F915" s="90"/>
      <c r="G915" s="107"/>
      <c r="H915" s="108"/>
      <c r="J915" s="109"/>
      <c r="K915" s="110"/>
      <c r="L915" s="110"/>
      <c r="M915" s="110"/>
      <c r="N915" s="110"/>
      <c r="O915" s="110"/>
      <c r="R915" s="101"/>
      <c r="S915" s="101"/>
    </row>
    <row r="916">
      <c r="E916" s="67"/>
      <c r="F916" s="90"/>
      <c r="G916" s="107"/>
      <c r="H916" s="108"/>
      <c r="J916" s="109"/>
      <c r="K916" s="110"/>
      <c r="L916" s="110"/>
      <c r="M916" s="110"/>
      <c r="N916" s="110"/>
      <c r="O916" s="110"/>
      <c r="R916" s="101"/>
      <c r="S916" s="101"/>
    </row>
    <row r="917">
      <c r="E917" s="67"/>
      <c r="F917" s="90"/>
      <c r="G917" s="107"/>
      <c r="H917" s="108"/>
      <c r="J917" s="109"/>
      <c r="K917" s="110"/>
      <c r="L917" s="110"/>
      <c r="M917" s="110"/>
      <c r="N917" s="110"/>
      <c r="O917" s="110"/>
      <c r="R917" s="101"/>
      <c r="S917" s="101"/>
    </row>
    <row r="918">
      <c r="E918" s="67"/>
      <c r="F918" s="90"/>
      <c r="G918" s="107"/>
      <c r="H918" s="108"/>
      <c r="J918" s="109"/>
      <c r="K918" s="110"/>
      <c r="L918" s="110"/>
      <c r="M918" s="110"/>
      <c r="N918" s="110"/>
      <c r="O918" s="110"/>
      <c r="R918" s="101"/>
      <c r="S918" s="101"/>
    </row>
    <row r="919">
      <c r="E919" s="67"/>
      <c r="F919" s="90"/>
      <c r="G919" s="107"/>
      <c r="H919" s="108"/>
      <c r="J919" s="109"/>
      <c r="K919" s="110"/>
      <c r="L919" s="110"/>
      <c r="M919" s="110"/>
      <c r="N919" s="110"/>
      <c r="O919" s="110"/>
      <c r="R919" s="101"/>
      <c r="S919" s="101"/>
    </row>
    <row r="920">
      <c r="E920" s="67"/>
      <c r="F920" s="90"/>
      <c r="G920" s="107"/>
      <c r="H920" s="108"/>
      <c r="J920" s="109"/>
      <c r="K920" s="110"/>
      <c r="L920" s="110"/>
      <c r="M920" s="110"/>
      <c r="N920" s="110"/>
      <c r="O920" s="110"/>
      <c r="R920" s="101"/>
      <c r="S920" s="101"/>
    </row>
    <row r="921">
      <c r="E921" s="67"/>
      <c r="F921" s="90"/>
      <c r="G921" s="107"/>
      <c r="H921" s="108"/>
      <c r="J921" s="109"/>
      <c r="K921" s="110"/>
      <c r="L921" s="110"/>
      <c r="M921" s="110"/>
      <c r="N921" s="110"/>
      <c r="O921" s="110"/>
      <c r="R921" s="101"/>
      <c r="S921" s="101"/>
    </row>
    <row r="922">
      <c r="E922" s="67"/>
      <c r="F922" s="90"/>
      <c r="G922" s="107"/>
      <c r="H922" s="108"/>
      <c r="J922" s="109"/>
      <c r="K922" s="110"/>
      <c r="L922" s="110"/>
      <c r="M922" s="110"/>
      <c r="N922" s="110"/>
      <c r="O922" s="110"/>
      <c r="R922" s="101"/>
      <c r="S922" s="101"/>
    </row>
    <row r="923">
      <c r="E923" s="67"/>
      <c r="F923" s="90"/>
      <c r="G923" s="107"/>
      <c r="H923" s="108"/>
      <c r="J923" s="109"/>
      <c r="K923" s="110"/>
      <c r="L923" s="110"/>
      <c r="M923" s="110"/>
      <c r="N923" s="110"/>
      <c r="O923" s="110"/>
      <c r="R923" s="101"/>
      <c r="S923" s="101"/>
    </row>
    <row r="924">
      <c r="E924" s="67"/>
      <c r="F924" s="90"/>
      <c r="G924" s="107"/>
      <c r="H924" s="108"/>
      <c r="J924" s="109"/>
      <c r="K924" s="110"/>
      <c r="L924" s="110"/>
      <c r="M924" s="110"/>
      <c r="N924" s="110"/>
      <c r="O924" s="110"/>
      <c r="R924" s="101"/>
      <c r="S924" s="101"/>
    </row>
    <row r="925">
      <c r="E925" s="67"/>
      <c r="F925" s="90"/>
      <c r="G925" s="107"/>
      <c r="H925" s="108"/>
      <c r="J925" s="109"/>
      <c r="K925" s="110"/>
      <c r="L925" s="110"/>
      <c r="M925" s="110"/>
      <c r="N925" s="110"/>
      <c r="O925" s="110"/>
      <c r="R925" s="101"/>
      <c r="S925" s="101"/>
    </row>
    <row r="926">
      <c r="E926" s="67"/>
      <c r="F926" s="90"/>
      <c r="G926" s="107"/>
      <c r="H926" s="108"/>
      <c r="J926" s="109"/>
      <c r="K926" s="110"/>
      <c r="L926" s="110"/>
      <c r="M926" s="110"/>
      <c r="N926" s="110"/>
      <c r="O926" s="110"/>
      <c r="R926" s="101"/>
      <c r="S926" s="101"/>
    </row>
    <row r="927">
      <c r="E927" s="67"/>
      <c r="F927" s="90"/>
      <c r="G927" s="107"/>
      <c r="H927" s="108"/>
      <c r="J927" s="109"/>
      <c r="K927" s="110"/>
      <c r="L927" s="110"/>
      <c r="M927" s="110"/>
      <c r="N927" s="110"/>
      <c r="O927" s="110"/>
      <c r="R927" s="101"/>
      <c r="S927" s="101"/>
    </row>
    <row r="928">
      <c r="E928" s="67"/>
      <c r="F928" s="90"/>
      <c r="G928" s="107"/>
      <c r="H928" s="108"/>
      <c r="J928" s="109"/>
      <c r="K928" s="110"/>
      <c r="L928" s="110"/>
      <c r="M928" s="110"/>
      <c r="N928" s="110"/>
      <c r="O928" s="110"/>
      <c r="R928" s="101"/>
      <c r="S928" s="101"/>
    </row>
    <row r="929">
      <c r="E929" s="67"/>
      <c r="F929" s="90"/>
      <c r="G929" s="107"/>
      <c r="H929" s="108"/>
      <c r="J929" s="109"/>
      <c r="K929" s="110"/>
      <c r="L929" s="110"/>
      <c r="M929" s="110"/>
      <c r="N929" s="110"/>
      <c r="O929" s="110"/>
      <c r="R929" s="101"/>
      <c r="S929" s="101"/>
    </row>
    <row r="930">
      <c r="E930" s="67"/>
      <c r="F930" s="90"/>
      <c r="G930" s="107"/>
      <c r="H930" s="108"/>
      <c r="J930" s="109"/>
      <c r="K930" s="110"/>
      <c r="L930" s="110"/>
      <c r="M930" s="110"/>
      <c r="N930" s="110"/>
      <c r="O930" s="110"/>
      <c r="R930" s="101"/>
      <c r="S930" s="101"/>
    </row>
    <row r="931">
      <c r="E931" s="67"/>
      <c r="F931" s="90"/>
      <c r="G931" s="107"/>
      <c r="H931" s="108"/>
      <c r="J931" s="109"/>
      <c r="K931" s="110"/>
      <c r="L931" s="110"/>
      <c r="M931" s="110"/>
      <c r="N931" s="110"/>
      <c r="O931" s="110"/>
      <c r="R931" s="101"/>
      <c r="S931" s="101"/>
    </row>
    <row r="932">
      <c r="E932" s="67"/>
      <c r="F932" s="90"/>
      <c r="G932" s="107"/>
      <c r="H932" s="108"/>
      <c r="J932" s="109"/>
      <c r="K932" s="110"/>
      <c r="L932" s="110"/>
      <c r="M932" s="110"/>
      <c r="N932" s="110"/>
      <c r="O932" s="110"/>
      <c r="R932" s="101"/>
      <c r="S932" s="101"/>
    </row>
    <row r="933">
      <c r="E933" s="67"/>
      <c r="F933" s="90"/>
      <c r="G933" s="107"/>
      <c r="H933" s="108"/>
      <c r="J933" s="109"/>
      <c r="K933" s="110"/>
      <c r="L933" s="110"/>
      <c r="M933" s="110"/>
      <c r="N933" s="110"/>
      <c r="O933" s="110"/>
      <c r="R933" s="101"/>
      <c r="S933" s="101"/>
    </row>
    <row r="934">
      <c r="E934" s="67"/>
      <c r="F934" s="90"/>
      <c r="G934" s="107"/>
      <c r="H934" s="108"/>
      <c r="J934" s="109"/>
      <c r="K934" s="110"/>
      <c r="L934" s="110"/>
      <c r="M934" s="110"/>
      <c r="N934" s="110"/>
      <c r="O934" s="110"/>
      <c r="R934" s="101"/>
      <c r="S934" s="101"/>
    </row>
    <row r="935">
      <c r="E935" s="67"/>
      <c r="F935" s="90"/>
      <c r="G935" s="107"/>
      <c r="H935" s="108"/>
      <c r="J935" s="109"/>
      <c r="K935" s="110"/>
      <c r="L935" s="110"/>
      <c r="M935" s="110"/>
      <c r="N935" s="110"/>
      <c r="O935" s="110"/>
      <c r="R935" s="101"/>
      <c r="S935" s="101"/>
    </row>
    <row r="936">
      <c r="E936" s="67"/>
      <c r="F936" s="90"/>
      <c r="G936" s="107"/>
      <c r="H936" s="108"/>
      <c r="J936" s="109"/>
      <c r="K936" s="110"/>
      <c r="L936" s="110"/>
      <c r="M936" s="110"/>
      <c r="N936" s="110"/>
      <c r="O936" s="110"/>
      <c r="R936" s="101"/>
      <c r="S936" s="101"/>
    </row>
    <row r="937">
      <c r="E937" s="67"/>
      <c r="F937" s="90"/>
      <c r="G937" s="107"/>
      <c r="H937" s="108"/>
      <c r="J937" s="109"/>
      <c r="K937" s="110"/>
      <c r="L937" s="110"/>
      <c r="M937" s="110"/>
      <c r="N937" s="110"/>
      <c r="O937" s="110"/>
      <c r="R937" s="101"/>
      <c r="S937" s="101"/>
    </row>
    <row r="938">
      <c r="E938" s="67"/>
      <c r="F938" s="90"/>
      <c r="G938" s="107"/>
      <c r="H938" s="108"/>
      <c r="J938" s="109"/>
      <c r="K938" s="110"/>
      <c r="L938" s="110"/>
      <c r="M938" s="110"/>
      <c r="N938" s="110"/>
      <c r="O938" s="110"/>
      <c r="R938" s="101"/>
      <c r="S938" s="101"/>
    </row>
    <row r="939">
      <c r="E939" s="67"/>
      <c r="F939" s="90"/>
      <c r="G939" s="107"/>
      <c r="H939" s="108"/>
      <c r="J939" s="109"/>
      <c r="K939" s="110"/>
      <c r="L939" s="110"/>
      <c r="M939" s="110"/>
      <c r="N939" s="110"/>
      <c r="O939" s="110"/>
      <c r="R939" s="101"/>
      <c r="S939" s="101"/>
    </row>
    <row r="940">
      <c r="E940" s="67"/>
      <c r="F940" s="90"/>
      <c r="G940" s="107"/>
      <c r="H940" s="108"/>
      <c r="J940" s="109"/>
      <c r="K940" s="110"/>
      <c r="L940" s="110"/>
      <c r="M940" s="110"/>
      <c r="N940" s="110"/>
      <c r="O940" s="110"/>
      <c r="R940" s="101"/>
      <c r="S940" s="101"/>
    </row>
    <row r="941">
      <c r="E941" s="67"/>
      <c r="F941" s="90"/>
      <c r="G941" s="107"/>
      <c r="H941" s="108"/>
      <c r="J941" s="109"/>
      <c r="K941" s="110"/>
      <c r="L941" s="110"/>
      <c r="M941" s="110"/>
      <c r="N941" s="110"/>
      <c r="O941" s="110"/>
      <c r="R941" s="101"/>
      <c r="S941" s="101"/>
    </row>
    <row r="942">
      <c r="E942" s="67"/>
      <c r="F942" s="90"/>
      <c r="G942" s="107"/>
      <c r="H942" s="108"/>
      <c r="J942" s="109"/>
      <c r="K942" s="110"/>
      <c r="L942" s="110"/>
      <c r="M942" s="110"/>
      <c r="N942" s="110"/>
      <c r="O942" s="110"/>
      <c r="R942" s="101"/>
      <c r="S942" s="101"/>
    </row>
    <row r="943">
      <c r="E943" s="67"/>
      <c r="F943" s="90"/>
      <c r="G943" s="107"/>
      <c r="H943" s="108"/>
      <c r="J943" s="109"/>
      <c r="K943" s="110"/>
      <c r="L943" s="110"/>
      <c r="M943" s="110"/>
      <c r="N943" s="110"/>
      <c r="O943" s="110"/>
      <c r="R943" s="101"/>
      <c r="S943" s="101"/>
    </row>
    <row r="944">
      <c r="E944" s="67"/>
      <c r="F944" s="90"/>
      <c r="G944" s="107"/>
      <c r="H944" s="108"/>
      <c r="J944" s="109"/>
      <c r="K944" s="110"/>
      <c r="L944" s="110"/>
      <c r="M944" s="110"/>
      <c r="N944" s="110"/>
      <c r="O944" s="110"/>
      <c r="R944" s="101"/>
      <c r="S944" s="101"/>
    </row>
    <row r="945">
      <c r="E945" s="67"/>
      <c r="F945" s="90"/>
      <c r="G945" s="107"/>
      <c r="H945" s="108"/>
      <c r="J945" s="109"/>
      <c r="K945" s="110"/>
      <c r="L945" s="110"/>
      <c r="M945" s="110"/>
      <c r="N945" s="110"/>
      <c r="O945" s="110"/>
      <c r="R945" s="101"/>
      <c r="S945" s="101"/>
    </row>
    <row r="946">
      <c r="E946" s="67"/>
      <c r="F946" s="90"/>
      <c r="G946" s="107"/>
      <c r="H946" s="108"/>
      <c r="J946" s="109"/>
      <c r="K946" s="110"/>
      <c r="L946" s="110"/>
      <c r="M946" s="110"/>
      <c r="N946" s="110"/>
      <c r="O946" s="110"/>
      <c r="R946" s="101"/>
      <c r="S946" s="101"/>
    </row>
    <row r="947">
      <c r="E947" s="67"/>
      <c r="F947" s="90"/>
      <c r="G947" s="107"/>
      <c r="H947" s="108"/>
      <c r="J947" s="109"/>
      <c r="K947" s="110"/>
      <c r="L947" s="110"/>
      <c r="M947" s="110"/>
      <c r="N947" s="110"/>
      <c r="O947" s="110"/>
      <c r="R947" s="101"/>
      <c r="S947" s="101"/>
    </row>
    <row r="948">
      <c r="E948" s="67"/>
      <c r="F948" s="90"/>
      <c r="G948" s="107"/>
      <c r="H948" s="108"/>
      <c r="J948" s="109"/>
      <c r="K948" s="110"/>
      <c r="L948" s="110"/>
      <c r="M948" s="110"/>
      <c r="N948" s="110"/>
      <c r="O948" s="110"/>
      <c r="R948" s="101"/>
      <c r="S948" s="101"/>
    </row>
    <row r="949">
      <c r="E949" s="67"/>
      <c r="F949" s="90"/>
      <c r="G949" s="107"/>
      <c r="H949" s="108"/>
      <c r="J949" s="109"/>
      <c r="K949" s="110"/>
      <c r="L949" s="110"/>
      <c r="M949" s="110"/>
      <c r="N949" s="110"/>
      <c r="O949" s="110"/>
      <c r="R949" s="101"/>
      <c r="S949" s="101"/>
    </row>
    <row r="950">
      <c r="E950" s="67"/>
      <c r="F950" s="90"/>
      <c r="G950" s="107"/>
      <c r="H950" s="108"/>
      <c r="J950" s="109"/>
      <c r="K950" s="110"/>
      <c r="L950" s="110"/>
      <c r="M950" s="110"/>
      <c r="N950" s="110"/>
      <c r="O950" s="110"/>
      <c r="R950" s="101"/>
      <c r="S950" s="101"/>
    </row>
    <row r="951">
      <c r="E951" s="67"/>
      <c r="F951" s="90"/>
      <c r="G951" s="107"/>
      <c r="H951" s="108"/>
      <c r="J951" s="109"/>
      <c r="K951" s="110"/>
      <c r="L951" s="110"/>
      <c r="M951" s="110"/>
      <c r="N951" s="110"/>
      <c r="O951" s="110"/>
      <c r="R951" s="101"/>
      <c r="S951" s="101"/>
    </row>
    <row r="952">
      <c r="E952" s="67"/>
      <c r="F952" s="90"/>
      <c r="G952" s="107"/>
      <c r="H952" s="108"/>
      <c r="J952" s="109"/>
      <c r="K952" s="110"/>
      <c r="L952" s="110"/>
      <c r="M952" s="110"/>
      <c r="N952" s="110"/>
      <c r="O952" s="110"/>
      <c r="R952" s="101"/>
      <c r="S952" s="101"/>
    </row>
    <row r="953">
      <c r="E953" s="67"/>
      <c r="F953" s="90"/>
      <c r="G953" s="107"/>
      <c r="H953" s="108"/>
      <c r="J953" s="109"/>
      <c r="K953" s="110"/>
      <c r="L953" s="110"/>
      <c r="M953" s="110"/>
      <c r="N953" s="110"/>
      <c r="O953" s="110"/>
      <c r="R953" s="101"/>
      <c r="S953" s="101"/>
    </row>
    <row r="954">
      <c r="E954" s="67"/>
      <c r="F954" s="90"/>
      <c r="G954" s="107"/>
      <c r="H954" s="108"/>
      <c r="J954" s="109"/>
      <c r="K954" s="110"/>
      <c r="L954" s="110"/>
      <c r="M954" s="110"/>
      <c r="N954" s="110"/>
      <c r="O954" s="110"/>
      <c r="R954" s="101"/>
      <c r="S954" s="101"/>
    </row>
    <row r="955">
      <c r="E955" s="67"/>
      <c r="F955" s="90"/>
      <c r="G955" s="107"/>
      <c r="H955" s="108"/>
      <c r="J955" s="109"/>
      <c r="K955" s="110"/>
      <c r="L955" s="110"/>
      <c r="M955" s="110"/>
      <c r="N955" s="110"/>
      <c r="O955" s="110"/>
      <c r="R955" s="101"/>
      <c r="S955" s="101"/>
    </row>
    <row r="956">
      <c r="E956" s="67"/>
      <c r="F956" s="90"/>
      <c r="G956" s="107"/>
      <c r="H956" s="108"/>
      <c r="J956" s="109"/>
      <c r="K956" s="110"/>
      <c r="L956" s="110"/>
      <c r="M956" s="110"/>
      <c r="N956" s="110"/>
      <c r="O956" s="110"/>
      <c r="R956" s="101"/>
      <c r="S956" s="101"/>
    </row>
    <row r="957">
      <c r="E957" s="67"/>
      <c r="F957" s="90"/>
      <c r="G957" s="107"/>
      <c r="H957" s="108"/>
      <c r="J957" s="109"/>
      <c r="K957" s="110"/>
      <c r="L957" s="110"/>
      <c r="M957" s="110"/>
      <c r="N957" s="110"/>
      <c r="O957" s="110"/>
      <c r="R957" s="101"/>
      <c r="S957" s="101"/>
    </row>
    <row r="958">
      <c r="E958" s="67"/>
      <c r="F958" s="90"/>
      <c r="G958" s="107"/>
      <c r="H958" s="108"/>
      <c r="J958" s="109"/>
      <c r="K958" s="110"/>
      <c r="L958" s="110"/>
      <c r="M958" s="110"/>
      <c r="N958" s="110"/>
      <c r="O958" s="110"/>
      <c r="R958" s="101"/>
      <c r="S958" s="101"/>
    </row>
    <row r="959">
      <c r="E959" s="67"/>
      <c r="F959" s="90"/>
      <c r="G959" s="107"/>
      <c r="H959" s="108"/>
      <c r="J959" s="109"/>
      <c r="K959" s="110"/>
      <c r="L959" s="110"/>
      <c r="M959" s="110"/>
      <c r="N959" s="110"/>
      <c r="O959" s="110"/>
      <c r="R959" s="101"/>
      <c r="S959" s="101"/>
    </row>
    <row r="960">
      <c r="E960" s="67"/>
      <c r="F960" s="90"/>
      <c r="G960" s="107"/>
      <c r="H960" s="108"/>
      <c r="J960" s="109"/>
      <c r="K960" s="110"/>
      <c r="L960" s="110"/>
      <c r="M960" s="110"/>
      <c r="N960" s="110"/>
      <c r="O960" s="110"/>
      <c r="R960" s="101"/>
      <c r="S960" s="101"/>
    </row>
    <row r="961">
      <c r="E961" s="67"/>
      <c r="F961" s="90"/>
      <c r="G961" s="107"/>
      <c r="H961" s="108"/>
      <c r="J961" s="109"/>
      <c r="K961" s="110"/>
      <c r="L961" s="110"/>
      <c r="M961" s="110"/>
      <c r="N961" s="110"/>
      <c r="O961" s="110"/>
      <c r="R961" s="101"/>
      <c r="S961" s="101"/>
    </row>
    <row r="962">
      <c r="E962" s="67"/>
      <c r="F962" s="90"/>
      <c r="G962" s="107"/>
      <c r="H962" s="108"/>
      <c r="J962" s="109"/>
      <c r="K962" s="110"/>
      <c r="L962" s="110"/>
      <c r="M962" s="110"/>
      <c r="N962" s="110"/>
      <c r="O962" s="110"/>
      <c r="R962" s="101"/>
      <c r="S962" s="101"/>
    </row>
    <row r="963">
      <c r="E963" s="67"/>
      <c r="F963" s="90"/>
      <c r="G963" s="107"/>
      <c r="H963" s="108"/>
      <c r="J963" s="109"/>
      <c r="K963" s="110"/>
      <c r="L963" s="110"/>
      <c r="M963" s="110"/>
      <c r="N963" s="110"/>
      <c r="O963" s="110"/>
      <c r="R963" s="101"/>
      <c r="S963" s="101"/>
    </row>
    <row r="964">
      <c r="E964" s="67"/>
      <c r="F964" s="90"/>
      <c r="G964" s="107"/>
      <c r="H964" s="108"/>
      <c r="J964" s="109"/>
      <c r="K964" s="110"/>
      <c r="L964" s="110"/>
      <c r="M964" s="110"/>
      <c r="N964" s="110"/>
      <c r="O964" s="110"/>
      <c r="R964" s="101"/>
      <c r="S964" s="101"/>
    </row>
    <row r="965">
      <c r="E965" s="67"/>
      <c r="F965" s="90"/>
      <c r="G965" s="107"/>
      <c r="H965" s="108"/>
      <c r="J965" s="109"/>
      <c r="K965" s="110"/>
      <c r="L965" s="110"/>
      <c r="M965" s="110"/>
      <c r="N965" s="110"/>
      <c r="O965" s="110"/>
      <c r="R965" s="101"/>
      <c r="S965" s="101"/>
    </row>
    <row r="966">
      <c r="E966" s="67"/>
      <c r="F966" s="90"/>
      <c r="G966" s="107"/>
      <c r="H966" s="108"/>
      <c r="J966" s="109"/>
      <c r="K966" s="110"/>
      <c r="L966" s="110"/>
      <c r="M966" s="110"/>
      <c r="N966" s="110"/>
      <c r="O966" s="110"/>
      <c r="R966" s="101"/>
      <c r="S966" s="101"/>
    </row>
    <row r="967">
      <c r="E967" s="67"/>
      <c r="F967" s="90"/>
      <c r="G967" s="107"/>
      <c r="H967" s="108"/>
      <c r="J967" s="109"/>
      <c r="K967" s="110"/>
      <c r="L967" s="110"/>
      <c r="M967" s="110"/>
      <c r="N967" s="110"/>
      <c r="O967" s="110"/>
      <c r="R967" s="101"/>
      <c r="S967" s="101"/>
    </row>
    <row r="968">
      <c r="E968" s="67"/>
      <c r="F968" s="90"/>
      <c r="G968" s="107"/>
      <c r="H968" s="108"/>
      <c r="J968" s="109"/>
      <c r="K968" s="110"/>
      <c r="L968" s="110"/>
      <c r="M968" s="110"/>
      <c r="N968" s="110"/>
      <c r="O968" s="110"/>
      <c r="R968" s="101"/>
      <c r="S968" s="101"/>
    </row>
    <row r="969">
      <c r="E969" s="67"/>
      <c r="F969" s="90"/>
      <c r="G969" s="107"/>
      <c r="H969" s="108"/>
      <c r="J969" s="109"/>
      <c r="K969" s="110"/>
      <c r="L969" s="110"/>
      <c r="M969" s="110"/>
      <c r="N969" s="110"/>
      <c r="O969" s="110"/>
      <c r="R969" s="101"/>
      <c r="S969" s="101"/>
    </row>
    <row r="970">
      <c r="E970" s="67"/>
      <c r="F970" s="90"/>
      <c r="G970" s="107"/>
      <c r="H970" s="108"/>
      <c r="J970" s="109"/>
      <c r="K970" s="110"/>
      <c r="L970" s="110"/>
      <c r="M970" s="110"/>
      <c r="N970" s="110"/>
      <c r="O970" s="110"/>
      <c r="R970" s="101"/>
      <c r="S970" s="101"/>
    </row>
    <row r="971">
      <c r="E971" s="67"/>
      <c r="F971" s="90"/>
      <c r="G971" s="107"/>
      <c r="H971" s="108"/>
      <c r="J971" s="109"/>
      <c r="K971" s="110"/>
      <c r="L971" s="110"/>
      <c r="M971" s="110"/>
      <c r="N971" s="110"/>
      <c r="O971" s="110"/>
      <c r="R971" s="101"/>
      <c r="S971" s="101"/>
    </row>
    <row r="972">
      <c r="E972" s="67"/>
      <c r="F972" s="90"/>
      <c r="G972" s="107"/>
      <c r="H972" s="108"/>
      <c r="J972" s="109"/>
      <c r="K972" s="110"/>
      <c r="L972" s="110"/>
      <c r="M972" s="110"/>
      <c r="N972" s="110"/>
      <c r="O972" s="110"/>
      <c r="R972" s="101"/>
      <c r="S972" s="101"/>
    </row>
    <row r="973">
      <c r="E973" s="67"/>
      <c r="F973" s="90"/>
      <c r="G973" s="107"/>
      <c r="H973" s="108"/>
      <c r="J973" s="109"/>
      <c r="K973" s="110"/>
      <c r="L973" s="110"/>
      <c r="M973" s="110"/>
      <c r="N973" s="110"/>
      <c r="O973" s="110"/>
      <c r="R973" s="101"/>
      <c r="S973" s="101"/>
    </row>
    <row r="974">
      <c r="E974" s="67"/>
      <c r="F974" s="90"/>
      <c r="G974" s="107"/>
      <c r="H974" s="108"/>
      <c r="J974" s="109"/>
      <c r="K974" s="110"/>
      <c r="L974" s="110"/>
      <c r="M974" s="110"/>
      <c r="N974" s="110"/>
      <c r="O974" s="110"/>
      <c r="R974" s="101"/>
      <c r="S974" s="101"/>
    </row>
    <row r="975">
      <c r="E975" s="67"/>
      <c r="F975" s="90"/>
      <c r="G975" s="107"/>
      <c r="H975" s="108"/>
      <c r="J975" s="109"/>
      <c r="K975" s="110"/>
      <c r="L975" s="110"/>
      <c r="M975" s="110"/>
      <c r="N975" s="110"/>
      <c r="O975" s="110"/>
      <c r="R975" s="101"/>
      <c r="S975" s="101"/>
    </row>
    <row r="976">
      <c r="E976" s="67"/>
      <c r="F976" s="90"/>
      <c r="G976" s="107"/>
      <c r="H976" s="108"/>
      <c r="J976" s="109"/>
      <c r="K976" s="110"/>
      <c r="L976" s="110"/>
      <c r="M976" s="110"/>
      <c r="N976" s="110"/>
      <c r="O976" s="110"/>
      <c r="R976" s="101"/>
      <c r="S976" s="101"/>
    </row>
    <row r="977">
      <c r="E977" s="67"/>
      <c r="F977" s="90"/>
      <c r="G977" s="107"/>
      <c r="H977" s="108"/>
      <c r="J977" s="109"/>
      <c r="K977" s="110"/>
      <c r="L977" s="110"/>
      <c r="M977" s="110"/>
      <c r="N977" s="110"/>
      <c r="O977" s="110"/>
      <c r="R977" s="101"/>
      <c r="S977" s="101"/>
    </row>
    <row r="978">
      <c r="E978" s="67"/>
      <c r="F978" s="90"/>
      <c r="G978" s="107"/>
      <c r="H978" s="108"/>
      <c r="J978" s="109"/>
      <c r="K978" s="110"/>
      <c r="L978" s="110"/>
      <c r="M978" s="110"/>
      <c r="N978" s="110"/>
      <c r="O978" s="110"/>
      <c r="R978" s="101"/>
      <c r="S978" s="101"/>
    </row>
    <row r="979">
      <c r="E979" s="67"/>
      <c r="F979" s="90"/>
      <c r="G979" s="107"/>
      <c r="H979" s="108"/>
      <c r="J979" s="109"/>
      <c r="K979" s="110"/>
      <c r="L979" s="110"/>
      <c r="M979" s="110"/>
      <c r="N979" s="110"/>
      <c r="O979" s="110"/>
      <c r="R979" s="101"/>
      <c r="S979" s="101"/>
    </row>
    <row r="980">
      <c r="E980" s="67"/>
      <c r="F980" s="90"/>
      <c r="G980" s="107"/>
      <c r="H980" s="108"/>
      <c r="J980" s="109"/>
      <c r="K980" s="110"/>
      <c r="L980" s="110"/>
      <c r="M980" s="110"/>
      <c r="N980" s="110"/>
      <c r="O980" s="110"/>
      <c r="R980" s="101"/>
      <c r="S980" s="101"/>
    </row>
    <row r="981">
      <c r="E981" s="67"/>
      <c r="F981" s="90"/>
      <c r="G981" s="107"/>
      <c r="H981" s="108"/>
      <c r="J981" s="109"/>
      <c r="K981" s="110"/>
      <c r="L981" s="110"/>
      <c r="M981" s="110"/>
      <c r="N981" s="110"/>
      <c r="O981" s="110"/>
      <c r="R981" s="101"/>
      <c r="S981" s="101"/>
    </row>
    <row r="982">
      <c r="E982" s="67"/>
      <c r="F982" s="90"/>
      <c r="G982" s="107"/>
      <c r="H982" s="108"/>
      <c r="J982" s="109"/>
      <c r="K982" s="110"/>
      <c r="L982" s="110"/>
      <c r="M982" s="110"/>
      <c r="N982" s="110"/>
      <c r="O982" s="110"/>
      <c r="R982" s="101"/>
      <c r="S982" s="101"/>
    </row>
    <row r="983">
      <c r="E983" s="67"/>
      <c r="F983" s="90"/>
      <c r="G983" s="107"/>
      <c r="H983" s="108"/>
      <c r="J983" s="109"/>
      <c r="K983" s="110"/>
      <c r="L983" s="110"/>
      <c r="M983" s="110"/>
      <c r="N983" s="110"/>
      <c r="O983" s="110"/>
      <c r="R983" s="101"/>
      <c r="S983" s="101"/>
    </row>
    <row r="984">
      <c r="E984" s="67"/>
      <c r="F984" s="90"/>
      <c r="G984" s="107"/>
      <c r="H984" s="108"/>
      <c r="J984" s="109"/>
      <c r="K984" s="110"/>
      <c r="L984" s="110"/>
      <c r="M984" s="110"/>
      <c r="N984" s="110"/>
      <c r="O984" s="110"/>
      <c r="R984" s="101"/>
      <c r="S984" s="101"/>
    </row>
    <row r="985">
      <c r="E985" s="67"/>
      <c r="F985" s="90"/>
      <c r="G985" s="107"/>
      <c r="H985" s="108"/>
      <c r="J985" s="109"/>
      <c r="K985" s="110"/>
      <c r="L985" s="110"/>
      <c r="M985" s="110"/>
      <c r="N985" s="110"/>
      <c r="O985" s="110"/>
      <c r="R985" s="101"/>
      <c r="S985" s="101"/>
    </row>
    <row r="986">
      <c r="E986" s="67"/>
      <c r="F986" s="90"/>
      <c r="G986" s="107"/>
      <c r="H986" s="108"/>
      <c r="J986" s="109"/>
      <c r="K986" s="110"/>
      <c r="L986" s="110"/>
      <c r="M986" s="110"/>
      <c r="N986" s="110"/>
      <c r="O986" s="110"/>
      <c r="R986" s="101"/>
      <c r="S986" s="101"/>
    </row>
    <row r="987">
      <c r="E987" s="67"/>
      <c r="F987" s="90"/>
      <c r="G987" s="107"/>
      <c r="H987" s="108"/>
      <c r="J987" s="109"/>
      <c r="K987" s="110"/>
      <c r="L987" s="110"/>
      <c r="M987" s="110"/>
      <c r="N987" s="110"/>
      <c r="O987" s="110"/>
      <c r="R987" s="101"/>
      <c r="S987" s="101"/>
    </row>
    <row r="988">
      <c r="E988" s="67"/>
      <c r="F988" s="90"/>
      <c r="G988" s="107"/>
      <c r="H988" s="108"/>
      <c r="J988" s="109"/>
      <c r="K988" s="110"/>
      <c r="L988" s="110"/>
      <c r="M988" s="110"/>
      <c r="N988" s="110"/>
      <c r="O988" s="110"/>
      <c r="R988" s="101"/>
      <c r="S988" s="101"/>
    </row>
    <row r="989">
      <c r="E989" s="67"/>
      <c r="F989" s="90"/>
      <c r="G989" s="107"/>
      <c r="H989" s="108"/>
      <c r="J989" s="109"/>
      <c r="K989" s="110"/>
      <c r="L989" s="110"/>
      <c r="M989" s="110"/>
      <c r="N989" s="110"/>
      <c r="O989" s="110"/>
      <c r="R989" s="101"/>
      <c r="S989" s="101"/>
    </row>
    <row r="990">
      <c r="E990" s="67"/>
      <c r="F990" s="90"/>
      <c r="G990" s="107"/>
      <c r="H990" s="108"/>
      <c r="J990" s="109"/>
      <c r="K990" s="110"/>
      <c r="L990" s="110"/>
      <c r="M990" s="110"/>
      <c r="N990" s="110"/>
      <c r="O990" s="110"/>
      <c r="R990" s="101"/>
      <c r="S990" s="101"/>
    </row>
    <row r="991">
      <c r="E991" s="67"/>
      <c r="F991" s="90"/>
      <c r="G991" s="107"/>
      <c r="H991" s="108"/>
      <c r="J991" s="109"/>
      <c r="K991" s="110"/>
      <c r="L991" s="110"/>
      <c r="M991" s="110"/>
      <c r="N991" s="110"/>
      <c r="O991" s="110"/>
      <c r="R991" s="101"/>
      <c r="S991" s="101"/>
    </row>
    <row r="992">
      <c r="E992" s="67"/>
      <c r="F992" s="90"/>
      <c r="G992" s="107"/>
      <c r="H992" s="108"/>
      <c r="J992" s="109"/>
      <c r="K992" s="110"/>
      <c r="L992" s="110"/>
      <c r="M992" s="110"/>
      <c r="N992" s="110"/>
      <c r="O992" s="110"/>
      <c r="R992" s="101"/>
      <c r="S992" s="101"/>
    </row>
    <row r="993">
      <c r="E993" s="67"/>
      <c r="F993" s="90"/>
      <c r="G993" s="107"/>
      <c r="H993" s="108"/>
      <c r="J993" s="109"/>
      <c r="K993" s="110"/>
      <c r="L993" s="110"/>
      <c r="M993" s="110"/>
      <c r="N993" s="110"/>
      <c r="O993" s="110"/>
      <c r="R993" s="101"/>
      <c r="S993" s="101"/>
    </row>
    <row r="994">
      <c r="E994" s="67"/>
      <c r="F994" s="90"/>
      <c r="G994" s="107"/>
      <c r="H994" s="108"/>
      <c r="J994" s="109"/>
      <c r="K994" s="110"/>
      <c r="L994" s="110"/>
      <c r="M994" s="110"/>
      <c r="N994" s="110"/>
      <c r="O994" s="110"/>
      <c r="R994" s="101"/>
      <c r="S994" s="101"/>
    </row>
    <row r="995">
      <c r="E995" s="67"/>
      <c r="F995" s="90"/>
      <c r="G995" s="107"/>
      <c r="H995" s="108"/>
      <c r="J995" s="109"/>
      <c r="K995" s="110"/>
      <c r="L995" s="110"/>
      <c r="M995" s="110"/>
      <c r="N995" s="110"/>
      <c r="O995" s="110"/>
      <c r="R995" s="101"/>
      <c r="S995" s="101"/>
    </row>
    <row r="996">
      <c r="E996" s="67"/>
      <c r="F996" s="90"/>
      <c r="G996" s="107"/>
      <c r="H996" s="108"/>
      <c r="J996" s="109"/>
      <c r="K996" s="110"/>
      <c r="L996" s="110"/>
      <c r="M996" s="110"/>
      <c r="N996" s="110"/>
      <c r="O996" s="110"/>
      <c r="R996" s="101"/>
      <c r="S996" s="101"/>
    </row>
    <row r="997">
      <c r="E997" s="67"/>
      <c r="F997" s="90"/>
      <c r="G997" s="107"/>
      <c r="H997" s="108"/>
      <c r="J997" s="109"/>
      <c r="K997" s="110"/>
      <c r="L997" s="110"/>
      <c r="M997" s="110"/>
      <c r="N997" s="110"/>
      <c r="O997" s="110"/>
      <c r="R997" s="101"/>
      <c r="S997" s="101"/>
    </row>
    <row r="998">
      <c r="E998" s="67"/>
      <c r="F998" s="90"/>
      <c r="G998" s="107"/>
      <c r="H998" s="108"/>
      <c r="J998" s="109"/>
      <c r="K998" s="110"/>
      <c r="L998" s="110"/>
      <c r="M998" s="110"/>
      <c r="N998" s="110"/>
      <c r="O998" s="110"/>
      <c r="R998" s="101"/>
      <c r="S998" s="101"/>
    </row>
    <row r="999">
      <c r="E999" s="67"/>
      <c r="F999" s="90"/>
      <c r="G999" s="107"/>
      <c r="H999" s="108"/>
      <c r="J999" s="109"/>
      <c r="K999" s="110"/>
      <c r="L999" s="110"/>
      <c r="M999" s="110"/>
      <c r="N999" s="110"/>
      <c r="O999" s="110"/>
      <c r="R999" s="101"/>
      <c r="S999" s="101"/>
    </row>
    <row r="1000">
      <c r="E1000" s="67"/>
      <c r="F1000" s="90"/>
      <c r="G1000" s="107"/>
      <c r="H1000" s="108"/>
      <c r="J1000" s="109"/>
      <c r="K1000" s="110"/>
      <c r="L1000" s="110"/>
      <c r="M1000" s="110"/>
      <c r="N1000" s="110"/>
      <c r="O1000" s="110"/>
      <c r="R1000" s="101"/>
      <c r="S1000" s="101"/>
    </row>
  </sheetData>
  <autoFilter ref="$C$1:$C$1000"/>
  <conditionalFormatting sqref="A2:D400 E2:E1000 F2:X400">
    <cfRule type="expression" dxfId="1" priority="1">
      <formula>$C2="Conforme"</formula>
    </cfRule>
  </conditionalFormatting>
  <conditionalFormatting sqref="A2:D400 E2:E1000 F2:X400">
    <cfRule type="expression" dxfId="2" priority="2">
      <formula>$C2="Dúvida"</formula>
    </cfRule>
  </conditionalFormatting>
  <conditionalFormatting sqref="A2:D400 E2:E1000 F2:X400">
    <cfRule type="expression" dxfId="3" priority="3">
      <formula>$C2&lt;&gt;""</formula>
    </cfRule>
  </conditionalFormatting>
  <dataValidations>
    <dataValidation type="list" allowBlank="1" showErrorMessage="1" sqref="C2:D16 D17 C18:D18 D19 C20:D23 D24:D25 C26:D234 E273:E1000">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secundários),Incoforme - Antes de 2014,Incoforme - Estudo duplicado,Inconforme - Não está conforme o tema,Conforme,Dúvida"</formula1>
    </dataValidation>
    <dataValidation type="list" allowBlank="1" showErrorMessage="1" sqref="E2:E272">
      <formula1>"Usar como ref"</formula1>
    </dataValidation>
    <dataValidation type="list" allowBlank="1" showErrorMessage="1" sqref="C17 C19 C25">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Duplicado,Conforme,Dúvida"</formula1>
    </dataValidation>
    <dataValidation type="list" allowBlank="1" showErrorMessage="1" sqref="C24">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Duplicado,Inconforme - Não está conforme o tema,Conforme,Dúvida"</formula1>
    </dataValidation>
  </dataValidations>
  <hyperlinks>
    <hyperlink r:id="rId1" ref="S1"/>
    <hyperlink r:id="rId2" ref="S2"/>
    <hyperlink r:id="rId3" ref="S3"/>
    <hyperlink r:id="rId4" ref="S4"/>
    <hyperlink r:id="rId5" ref="S5"/>
    <hyperlink r:id="rId6" ref="S6"/>
    <hyperlink r:id="rId7" ref="S7"/>
    <hyperlink r:id="rId8" ref="S8"/>
    <hyperlink r:id="rId9" ref="S9"/>
    <hyperlink r:id="rId10" ref="S10"/>
    <hyperlink r:id="rId11" ref="S11"/>
    <hyperlink r:id="rId12" ref="S12"/>
    <hyperlink r:id="rId13" ref="S13"/>
    <hyperlink r:id="rId14" ref="S14"/>
    <hyperlink r:id="rId15" ref="S15"/>
    <hyperlink r:id="rId16" ref="S16"/>
    <hyperlink r:id="rId17" ref="S17"/>
    <hyperlink r:id="rId18" ref="S18"/>
    <hyperlink r:id="rId19" ref="S19"/>
    <hyperlink r:id="rId20" ref="S20"/>
    <hyperlink r:id="rId21" ref="S21"/>
    <hyperlink r:id="rId22" ref="S22"/>
    <hyperlink r:id="rId23" ref="S23"/>
    <hyperlink r:id="rId24" ref="S24"/>
    <hyperlink r:id="rId25" ref="S25"/>
    <hyperlink r:id="rId26" ref="S26"/>
    <hyperlink r:id="rId27" ref="S27"/>
    <hyperlink r:id="rId28" ref="S28"/>
    <hyperlink r:id="rId29" ref="S29"/>
    <hyperlink r:id="rId30" ref="S30"/>
    <hyperlink r:id="rId31" ref="S31"/>
    <hyperlink r:id="rId32" ref="S32"/>
    <hyperlink r:id="rId33" ref="S33"/>
    <hyperlink r:id="rId34" ref="S34"/>
    <hyperlink r:id="rId35" ref="S35"/>
    <hyperlink r:id="rId36" ref="S36"/>
    <hyperlink r:id="rId37" ref="S37"/>
    <hyperlink r:id="rId38" ref="S38"/>
    <hyperlink r:id="rId39" ref="S39"/>
    <hyperlink r:id="rId40" ref="S40"/>
  </hyperlinks>
  <drawing r:id="rId4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hidden="1" min="1" max="1" width="12.63"/>
    <col customWidth="1" hidden="1" min="2" max="2" width="53.0"/>
    <col customWidth="1" min="3" max="3" width="18.75"/>
    <col customWidth="1" min="4" max="4" width="21.38"/>
    <col customWidth="1" min="5" max="5" width="17.38"/>
    <col customWidth="1" min="6" max="6" width="26.5"/>
    <col customWidth="1" min="7" max="7" width="4.75"/>
    <col customWidth="1" min="8" max="8" width="60.63"/>
    <col customWidth="1" min="9" max="9" width="16.38"/>
    <col customWidth="1" min="12" max="12" width="6.5"/>
    <col customWidth="1" min="13" max="13" width="6.63"/>
    <col customWidth="1" min="14" max="14" width="7.25"/>
    <col customWidth="1" min="15" max="15" width="9.0"/>
    <col customWidth="1" min="16" max="16" width="9.38"/>
    <col customWidth="1" min="17" max="17" width="7.13"/>
    <col customWidth="1" min="18" max="18" width="13.88"/>
  </cols>
  <sheetData>
    <row r="1">
      <c r="A1" s="94"/>
      <c r="B1" s="94"/>
      <c r="C1" s="111" t="s">
        <v>89</v>
      </c>
      <c r="D1" s="111" t="s">
        <v>16</v>
      </c>
      <c r="E1" s="112"/>
      <c r="F1" s="113" t="s">
        <v>109</v>
      </c>
      <c r="G1" s="114" t="s">
        <v>110</v>
      </c>
      <c r="H1" s="115" t="s">
        <v>111</v>
      </c>
      <c r="I1" s="113" t="s">
        <v>112</v>
      </c>
      <c r="J1" s="115" t="s">
        <v>755</v>
      </c>
      <c r="K1" s="116" t="s">
        <v>756</v>
      </c>
      <c r="L1" s="117" t="s">
        <v>113</v>
      </c>
      <c r="M1" s="118" t="s">
        <v>757</v>
      </c>
      <c r="N1" s="118" t="s">
        <v>758</v>
      </c>
      <c r="O1" s="118" t="s">
        <v>759</v>
      </c>
      <c r="P1" s="114" t="s">
        <v>538</v>
      </c>
      <c r="Q1" s="117" t="s">
        <v>118</v>
      </c>
      <c r="R1" s="113" t="s">
        <v>119</v>
      </c>
      <c r="S1" s="119" t="s">
        <v>8</v>
      </c>
      <c r="T1" s="113" t="s">
        <v>121</v>
      </c>
      <c r="U1" s="115" t="s">
        <v>122</v>
      </c>
      <c r="V1" s="115" t="s">
        <v>539</v>
      </c>
      <c r="W1" s="115" t="s">
        <v>123</v>
      </c>
    </row>
    <row r="2">
      <c r="A2" s="94"/>
      <c r="B2" s="94"/>
      <c r="C2" s="120" t="s">
        <v>124</v>
      </c>
      <c r="D2" s="120"/>
      <c r="E2" s="120"/>
      <c r="F2" s="121" t="s">
        <v>760</v>
      </c>
      <c r="G2" s="118">
        <v>2025.0</v>
      </c>
      <c r="H2" s="122" t="s">
        <v>761</v>
      </c>
      <c r="I2" s="121" t="s">
        <v>762</v>
      </c>
      <c r="J2" s="113"/>
      <c r="K2" s="122"/>
      <c r="L2" s="122">
        <v>26.0</v>
      </c>
      <c r="M2" s="118">
        <v>1.0</v>
      </c>
      <c r="N2" s="118">
        <v>2.0</v>
      </c>
      <c r="O2" s="118"/>
      <c r="P2" s="118">
        <v>47.0</v>
      </c>
      <c r="Q2" s="115"/>
      <c r="R2" s="121" t="s">
        <v>763</v>
      </c>
      <c r="S2" s="123" t="s">
        <v>764</v>
      </c>
      <c r="T2" s="113"/>
      <c r="U2" s="124"/>
      <c r="V2" s="124"/>
      <c r="W2" s="124"/>
    </row>
    <row r="3">
      <c r="A3" s="101"/>
      <c r="B3" s="101"/>
      <c r="C3" s="120"/>
      <c r="D3" s="120"/>
      <c r="E3" s="120"/>
      <c r="F3" s="125" t="s">
        <v>765</v>
      </c>
      <c r="G3" s="126">
        <v>2025.0</v>
      </c>
      <c r="H3" s="127" t="s">
        <v>766</v>
      </c>
      <c r="I3" s="113"/>
      <c r="J3" s="113"/>
      <c r="K3" s="115"/>
      <c r="L3" s="115"/>
      <c r="M3" s="114"/>
      <c r="N3" s="114"/>
      <c r="O3" s="114"/>
      <c r="P3" s="114"/>
      <c r="Q3" s="115"/>
      <c r="R3" s="121" t="s">
        <v>767</v>
      </c>
      <c r="S3" s="128"/>
      <c r="T3" s="113"/>
      <c r="U3" s="124"/>
      <c r="V3" s="124"/>
      <c r="W3" s="124"/>
    </row>
    <row r="4">
      <c r="A4" s="101"/>
      <c r="B4" s="101"/>
      <c r="C4" s="120" t="s">
        <v>154</v>
      </c>
      <c r="D4" s="120" t="s">
        <v>768</v>
      </c>
      <c r="E4" s="120"/>
      <c r="F4" s="121" t="s">
        <v>769</v>
      </c>
      <c r="G4" s="118">
        <v>2025.0</v>
      </c>
      <c r="H4" s="122" t="s">
        <v>770</v>
      </c>
      <c r="I4" s="121" t="s">
        <v>771</v>
      </c>
      <c r="J4" s="113"/>
      <c r="K4" s="115"/>
      <c r="L4" s="115"/>
      <c r="M4" s="114"/>
      <c r="N4" s="114"/>
      <c r="O4" s="114"/>
      <c r="P4" s="114"/>
      <c r="Q4" s="115"/>
      <c r="R4" s="121"/>
      <c r="S4" s="123" t="s">
        <v>772</v>
      </c>
      <c r="T4" s="113"/>
      <c r="U4" s="124"/>
      <c r="V4" s="124"/>
      <c r="W4" s="124"/>
    </row>
    <row r="5">
      <c r="A5" s="101"/>
      <c r="B5" s="101"/>
      <c r="C5" s="120" t="s">
        <v>154</v>
      </c>
      <c r="D5" s="120" t="s">
        <v>768</v>
      </c>
      <c r="E5" s="120"/>
      <c r="F5" s="121" t="s">
        <v>773</v>
      </c>
      <c r="G5" s="118">
        <v>2025.0</v>
      </c>
      <c r="H5" s="122" t="s">
        <v>774</v>
      </c>
      <c r="I5" s="121" t="s">
        <v>775</v>
      </c>
      <c r="J5" s="113"/>
      <c r="K5" s="115"/>
      <c r="L5" s="115"/>
      <c r="M5" s="114"/>
      <c r="N5" s="114"/>
      <c r="O5" s="114"/>
      <c r="P5" s="114"/>
      <c r="Q5" s="115"/>
      <c r="R5" s="121"/>
      <c r="S5" s="123" t="s">
        <v>776</v>
      </c>
      <c r="T5" s="113"/>
      <c r="U5" s="124"/>
      <c r="V5" s="124"/>
      <c r="W5" s="124"/>
    </row>
    <row r="6">
      <c r="A6" s="101"/>
      <c r="B6" s="101"/>
      <c r="C6" s="120"/>
      <c r="D6" s="120"/>
      <c r="E6" s="120"/>
      <c r="F6" s="125" t="s">
        <v>777</v>
      </c>
      <c r="G6" s="126">
        <v>2025.0</v>
      </c>
      <c r="I6" s="101"/>
      <c r="J6" s="113"/>
      <c r="K6" s="115"/>
      <c r="L6" s="115"/>
      <c r="M6" s="114"/>
      <c r="N6" s="114"/>
      <c r="O6" s="114"/>
      <c r="P6" s="114"/>
      <c r="Q6" s="115"/>
      <c r="R6" s="121" t="s">
        <v>778</v>
      </c>
      <c r="S6" s="128"/>
      <c r="T6" s="113"/>
      <c r="U6" s="124"/>
      <c r="V6" s="124"/>
      <c r="W6" s="124"/>
    </row>
    <row r="7">
      <c r="A7" s="101"/>
      <c r="B7" s="101"/>
      <c r="C7" s="129" t="s">
        <v>154</v>
      </c>
      <c r="D7" s="129" t="s">
        <v>175</v>
      </c>
      <c r="E7" s="129"/>
      <c r="F7" s="130" t="s">
        <v>90</v>
      </c>
      <c r="G7" s="131">
        <v>2025.0</v>
      </c>
      <c r="H7" s="132" t="s">
        <v>779</v>
      </c>
      <c r="I7" s="130" t="s">
        <v>91</v>
      </c>
      <c r="J7" s="133"/>
      <c r="K7" s="134"/>
      <c r="L7" s="134"/>
      <c r="M7" s="135"/>
      <c r="N7" s="135"/>
      <c r="O7" s="135"/>
      <c r="P7" s="135"/>
      <c r="Q7" s="134"/>
      <c r="R7" s="130"/>
      <c r="S7" s="136" t="s">
        <v>92</v>
      </c>
      <c r="T7" s="133"/>
      <c r="U7" s="137"/>
      <c r="V7" s="137"/>
      <c r="W7" s="137"/>
    </row>
    <row r="8">
      <c r="A8" s="101"/>
      <c r="B8" s="101"/>
      <c r="C8" s="129" t="s">
        <v>154</v>
      </c>
      <c r="D8" s="129" t="s">
        <v>175</v>
      </c>
      <c r="E8" s="129"/>
      <c r="F8" s="130" t="s">
        <v>99</v>
      </c>
      <c r="G8" s="131">
        <v>2025.0</v>
      </c>
      <c r="H8" s="132" t="s">
        <v>780</v>
      </c>
      <c r="I8" s="130" t="s">
        <v>100</v>
      </c>
      <c r="J8" s="133"/>
      <c r="K8" s="134"/>
      <c r="L8" s="134"/>
      <c r="M8" s="135"/>
      <c r="N8" s="135"/>
      <c r="O8" s="135"/>
      <c r="P8" s="135"/>
      <c r="Q8" s="134"/>
      <c r="R8" s="130"/>
      <c r="S8" s="136" t="s">
        <v>101</v>
      </c>
      <c r="T8" s="133"/>
      <c r="U8" s="137"/>
      <c r="V8" s="137"/>
      <c r="W8" s="137"/>
    </row>
    <row r="9">
      <c r="A9" s="101"/>
      <c r="B9" s="101"/>
      <c r="C9" s="120" t="s">
        <v>133</v>
      </c>
      <c r="D9" s="120"/>
      <c r="E9" s="120"/>
      <c r="F9" s="121" t="s">
        <v>781</v>
      </c>
      <c r="G9" s="118">
        <v>2024.0</v>
      </c>
      <c r="H9" s="122" t="s">
        <v>782</v>
      </c>
      <c r="I9" s="113"/>
      <c r="J9" s="113"/>
      <c r="K9" s="115"/>
      <c r="L9" s="115"/>
      <c r="M9" s="114"/>
      <c r="N9" s="114"/>
      <c r="O9" s="114"/>
      <c r="P9" s="114"/>
      <c r="Q9" s="115"/>
      <c r="R9" s="121" t="s">
        <v>783</v>
      </c>
      <c r="S9" s="113"/>
      <c r="T9" s="113"/>
      <c r="U9" s="124"/>
      <c r="V9" s="124"/>
      <c r="W9" s="124"/>
    </row>
    <row r="10">
      <c r="A10" s="94"/>
      <c r="B10" s="138"/>
      <c r="C10" s="120" t="s">
        <v>133</v>
      </c>
      <c r="D10" s="120"/>
      <c r="E10" s="120"/>
      <c r="F10" s="121" t="s">
        <v>784</v>
      </c>
      <c r="G10" s="118">
        <v>2024.0</v>
      </c>
      <c r="H10" s="139" t="s">
        <v>785</v>
      </c>
      <c r="I10" s="113"/>
      <c r="J10" s="113"/>
      <c r="K10" s="114"/>
      <c r="L10" s="114"/>
      <c r="M10" s="114"/>
      <c r="N10" s="114"/>
      <c r="O10" s="114"/>
      <c r="P10" s="114"/>
      <c r="Q10" s="115"/>
      <c r="R10" s="121" t="s">
        <v>786</v>
      </c>
      <c r="S10" s="113"/>
      <c r="T10" s="140"/>
      <c r="U10" s="124"/>
      <c r="V10" s="124"/>
      <c r="W10" s="124"/>
    </row>
    <row r="11">
      <c r="A11" s="101"/>
      <c r="B11" s="101"/>
      <c r="C11" s="120" t="s">
        <v>154</v>
      </c>
      <c r="D11" s="120" t="s">
        <v>124</v>
      </c>
      <c r="E11" s="120"/>
      <c r="F11" s="121" t="s">
        <v>787</v>
      </c>
      <c r="G11" s="118">
        <v>2025.0</v>
      </c>
      <c r="H11" s="122" t="s">
        <v>788</v>
      </c>
      <c r="I11" s="121" t="s">
        <v>789</v>
      </c>
      <c r="J11" s="113"/>
      <c r="K11" s="122" t="s">
        <v>790</v>
      </c>
      <c r="L11" s="115"/>
      <c r="M11" s="114"/>
      <c r="N11" s="114"/>
      <c r="O11" s="118" t="s">
        <v>791</v>
      </c>
      <c r="P11" s="118">
        <v>7.0</v>
      </c>
      <c r="Q11" s="115"/>
      <c r="R11" s="121" t="s">
        <v>792</v>
      </c>
      <c r="S11" s="141" t="s">
        <v>793</v>
      </c>
      <c r="T11" s="113"/>
      <c r="U11" s="124"/>
      <c r="V11" s="124"/>
      <c r="W11" s="124"/>
    </row>
    <row r="12">
      <c r="A12" s="94"/>
      <c r="B12" s="138"/>
      <c r="C12" s="120" t="s">
        <v>124</v>
      </c>
      <c r="D12" s="120"/>
      <c r="E12" s="120"/>
      <c r="F12" s="125" t="s">
        <v>794</v>
      </c>
      <c r="G12" s="126">
        <v>2022.0</v>
      </c>
      <c r="H12" s="140"/>
      <c r="I12" s="113"/>
      <c r="J12" s="113"/>
      <c r="K12" s="114"/>
      <c r="L12" s="114"/>
      <c r="M12" s="114"/>
      <c r="N12" s="114"/>
      <c r="O12" s="114"/>
      <c r="P12" s="114"/>
      <c r="Q12" s="115"/>
      <c r="R12" s="121" t="s">
        <v>795</v>
      </c>
      <c r="S12" s="113"/>
      <c r="T12" s="140"/>
      <c r="U12" s="124"/>
      <c r="V12" s="124"/>
      <c r="W12" s="124"/>
    </row>
    <row r="13">
      <c r="A13" s="94"/>
      <c r="B13" s="138"/>
      <c r="C13" s="120"/>
      <c r="D13" s="120"/>
      <c r="E13" s="120"/>
      <c r="F13" s="125" t="s">
        <v>796</v>
      </c>
      <c r="G13" s="126">
        <v>2024.0</v>
      </c>
      <c r="H13" s="140"/>
      <c r="I13" s="113"/>
      <c r="J13" s="113"/>
      <c r="K13" s="114"/>
      <c r="L13" s="114"/>
      <c r="M13" s="114"/>
      <c r="N13" s="114"/>
      <c r="O13" s="114"/>
      <c r="P13" s="114"/>
      <c r="Q13" s="115"/>
      <c r="R13" s="121" t="s">
        <v>797</v>
      </c>
      <c r="S13" s="113"/>
      <c r="T13" s="140"/>
      <c r="U13" s="124"/>
      <c r="V13" s="124"/>
      <c r="W13" s="124"/>
    </row>
    <row r="14">
      <c r="A14" s="94"/>
      <c r="B14" s="94"/>
      <c r="C14" s="120" t="s">
        <v>154</v>
      </c>
      <c r="D14" s="120" t="s">
        <v>175</v>
      </c>
      <c r="E14" s="120"/>
      <c r="F14" s="121" t="s">
        <v>76</v>
      </c>
      <c r="G14" s="118">
        <v>2024.0</v>
      </c>
      <c r="H14" s="122" t="s">
        <v>798</v>
      </c>
      <c r="I14" s="142" t="s">
        <v>77</v>
      </c>
      <c r="J14" s="113"/>
      <c r="K14" s="115"/>
      <c r="L14" s="115"/>
      <c r="M14" s="114"/>
      <c r="N14" s="114"/>
      <c r="O14" s="114"/>
      <c r="P14" s="114"/>
      <c r="Q14" s="115"/>
      <c r="R14" s="121"/>
      <c r="S14" s="123" t="s">
        <v>80</v>
      </c>
      <c r="T14" s="113"/>
      <c r="U14" s="124"/>
      <c r="V14" s="124"/>
      <c r="W14" s="124"/>
    </row>
    <row r="15">
      <c r="A15" s="94"/>
      <c r="B15" s="94"/>
      <c r="C15" s="120" t="s">
        <v>133</v>
      </c>
      <c r="D15" s="120"/>
      <c r="E15" s="120"/>
      <c r="F15" s="125" t="s">
        <v>799</v>
      </c>
      <c r="G15" s="126">
        <v>2023.0</v>
      </c>
      <c r="H15" s="115"/>
      <c r="I15" s="113"/>
      <c r="J15" s="113"/>
      <c r="K15" s="115"/>
      <c r="L15" s="115"/>
      <c r="M15" s="114"/>
      <c r="N15" s="114"/>
      <c r="O15" s="114"/>
      <c r="P15" s="114"/>
      <c r="Q15" s="115"/>
      <c r="R15" s="121" t="s">
        <v>800</v>
      </c>
      <c r="S15" s="128"/>
      <c r="T15" s="113"/>
      <c r="U15" s="124"/>
      <c r="V15" s="124"/>
      <c r="W15" s="124"/>
    </row>
    <row r="16">
      <c r="A16" s="101"/>
      <c r="B16" s="101"/>
      <c r="C16" s="120" t="s">
        <v>175</v>
      </c>
      <c r="D16" s="120"/>
      <c r="E16" s="120"/>
      <c r="F16" s="121" t="s">
        <v>801</v>
      </c>
      <c r="G16" s="118">
        <v>2024.0</v>
      </c>
      <c r="H16" s="122" t="s">
        <v>802</v>
      </c>
      <c r="I16" s="121" t="s">
        <v>803</v>
      </c>
      <c r="J16" s="113"/>
      <c r="K16" s="122" t="s">
        <v>804</v>
      </c>
      <c r="L16" s="115"/>
      <c r="M16" s="114"/>
      <c r="N16" s="114"/>
      <c r="O16" s="118" t="s">
        <v>805</v>
      </c>
      <c r="P16" s="118">
        <v>2.0</v>
      </c>
      <c r="Q16" s="115"/>
      <c r="R16" s="121" t="s">
        <v>806</v>
      </c>
      <c r="S16" s="141" t="s">
        <v>807</v>
      </c>
      <c r="T16" s="113"/>
      <c r="U16" s="124"/>
      <c r="V16" s="124"/>
      <c r="W16" s="124"/>
    </row>
    <row r="17">
      <c r="A17" s="94"/>
      <c r="B17" s="94"/>
      <c r="C17" s="120" t="s">
        <v>124</v>
      </c>
      <c r="D17" s="120"/>
      <c r="E17" s="120"/>
      <c r="F17" s="125" t="s">
        <v>808</v>
      </c>
      <c r="G17" s="126">
        <v>2024.0</v>
      </c>
      <c r="H17" s="115"/>
      <c r="I17" s="113"/>
      <c r="J17" s="113"/>
      <c r="K17" s="115"/>
      <c r="L17" s="115"/>
      <c r="M17" s="114"/>
      <c r="N17" s="114"/>
      <c r="O17" s="114"/>
      <c r="P17" s="114"/>
      <c r="Q17" s="115"/>
      <c r="R17" s="121" t="s">
        <v>809</v>
      </c>
      <c r="S17" s="128"/>
      <c r="T17" s="113"/>
      <c r="U17" s="124"/>
      <c r="V17" s="124"/>
      <c r="W17" s="124"/>
    </row>
    <row r="18">
      <c r="A18" s="94"/>
      <c r="B18" s="138"/>
      <c r="C18" s="120" t="s">
        <v>133</v>
      </c>
      <c r="D18" s="120"/>
      <c r="E18" s="120"/>
      <c r="F18" s="125" t="s">
        <v>810</v>
      </c>
      <c r="G18" s="126">
        <v>2024.0</v>
      </c>
      <c r="H18" s="115"/>
      <c r="I18" s="113"/>
      <c r="J18" s="113"/>
      <c r="K18" s="115"/>
      <c r="L18" s="115"/>
      <c r="M18" s="114"/>
      <c r="N18" s="114"/>
      <c r="O18" s="114"/>
      <c r="P18" s="114"/>
      <c r="Q18" s="115"/>
      <c r="R18" s="121" t="s">
        <v>811</v>
      </c>
      <c r="S18" s="128"/>
      <c r="T18" s="113"/>
      <c r="U18" s="124"/>
      <c r="V18" s="124"/>
      <c r="W18" s="124"/>
    </row>
    <row r="19">
      <c r="A19" s="94"/>
      <c r="B19" s="94"/>
      <c r="C19" s="120" t="s">
        <v>133</v>
      </c>
      <c r="D19" s="120"/>
      <c r="E19" s="120"/>
      <c r="F19" s="125" t="s">
        <v>812</v>
      </c>
      <c r="G19" s="126">
        <v>2024.0</v>
      </c>
      <c r="H19" s="122" t="s">
        <v>813</v>
      </c>
      <c r="I19" s="113"/>
      <c r="J19" s="113"/>
      <c r="K19" s="115"/>
      <c r="L19" s="115"/>
      <c r="M19" s="114"/>
      <c r="N19" s="114"/>
      <c r="O19" s="114"/>
      <c r="P19" s="114"/>
      <c r="Q19" s="115"/>
      <c r="R19" s="121" t="s">
        <v>814</v>
      </c>
      <c r="S19" s="128"/>
      <c r="T19" s="113"/>
      <c r="U19" s="124"/>
      <c r="V19" s="124"/>
      <c r="W19" s="124"/>
    </row>
    <row r="20">
      <c r="A20" s="94"/>
      <c r="B20" s="94"/>
      <c r="C20" s="120" t="s">
        <v>133</v>
      </c>
      <c r="D20" s="120"/>
      <c r="E20" s="120"/>
      <c r="F20" s="125" t="s">
        <v>815</v>
      </c>
      <c r="G20" s="126">
        <v>2024.0</v>
      </c>
      <c r="H20" s="115"/>
      <c r="I20" s="113"/>
      <c r="J20" s="113"/>
      <c r="K20" s="115"/>
      <c r="L20" s="115"/>
      <c r="M20" s="114"/>
      <c r="N20" s="114"/>
      <c r="O20" s="114"/>
      <c r="P20" s="114"/>
      <c r="Q20" s="115"/>
      <c r="R20" s="121" t="s">
        <v>816</v>
      </c>
      <c r="S20" s="128"/>
      <c r="T20" s="113"/>
      <c r="U20" s="124"/>
      <c r="V20" s="124"/>
      <c r="W20" s="124"/>
    </row>
    <row r="21">
      <c r="A21" s="94"/>
      <c r="B21" s="138"/>
      <c r="C21" s="120" t="s">
        <v>133</v>
      </c>
      <c r="D21" s="120"/>
      <c r="E21" s="120"/>
      <c r="F21" s="125" t="s">
        <v>817</v>
      </c>
      <c r="G21" s="126">
        <v>2025.0</v>
      </c>
      <c r="H21" s="115"/>
      <c r="I21" s="113"/>
      <c r="J21" s="113"/>
      <c r="K21" s="115"/>
      <c r="L21" s="115"/>
      <c r="M21" s="114"/>
      <c r="N21" s="114"/>
      <c r="O21" s="114"/>
      <c r="P21" s="114"/>
      <c r="Q21" s="115"/>
      <c r="R21" s="121" t="s">
        <v>818</v>
      </c>
      <c r="S21" s="128"/>
      <c r="T21" s="113"/>
      <c r="U21" s="124"/>
      <c r="V21" s="124"/>
      <c r="W21" s="124"/>
    </row>
    <row r="22">
      <c r="A22" s="94"/>
      <c r="B22" s="138"/>
      <c r="C22" s="120" t="s">
        <v>133</v>
      </c>
      <c r="D22" s="120"/>
      <c r="E22" s="120"/>
      <c r="F22" s="125" t="s">
        <v>819</v>
      </c>
      <c r="G22" s="126">
        <v>2026.0</v>
      </c>
      <c r="H22" s="127" t="s">
        <v>820</v>
      </c>
      <c r="I22" s="113"/>
      <c r="J22" s="113"/>
      <c r="K22" s="115"/>
      <c r="L22" s="115"/>
      <c r="M22" s="114"/>
      <c r="N22" s="114"/>
      <c r="O22" s="114"/>
      <c r="P22" s="114"/>
      <c r="Q22" s="115"/>
      <c r="R22" s="121" t="s">
        <v>821</v>
      </c>
      <c r="S22" s="128"/>
      <c r="T22" s="113"/>
      <c r="U22" s="124"/>
      <c r="V22" s="124"/>
      <c r="W22" s="124"/>
    </row>
    <row r="23">
      <c r="A23" s="94"/>
      <c r="B23" s="94"/>
      <c r="C23" s="120" t="s">
        <v>133</v>
      </c>
      <c r="D23" s="120"/>
      <c r="E23" s="120"/>
      <c r="F23" s="125" t="s">
        <v>822</v>
      </c>
      <c r="G23" s="126">
        <v>2023.0</v>
      </c>
      <c r="H23" s="115"/>
      <c r="I23" s="113"/>
      <c r="J23" s="113"/>
      <c r="K23" s="115"/>
      <c r="L23" s="115"/>
      <c r="M23" s="114"/>
      <c r="N23" s="114"/>
      <c r="O23" s="114"/>
      <c r="P23" s="114"/>
      <c r="Q23" s="115"/>
      <c r="R23" s="121" t="s">
        <v>823</v>
      </c>
      <c r="S23" s="128"/>
      <c r="T23" s="113"/>
      <c r="U23" s="124"/>
      <c r="V23" s="124"/>
      <c r="W23" s="124"/>
    </row>
    <row r="24">
      <c r="A24" s="101"/>
      <c r="B24" s="101"/>
      <c r="C24" s="120" t="s">
        <v>124</v>
      </c>
      <c r="D24" s="120"/>
      <c r="E24" s="120"/>
      <c r="F24" s="125" t="s">
        <v>824</v>
      </c>
      <c r="G24" s="126">
        <v>2022.0</v>
      </c>
      <c r="H24" s="127" t="s">
        <v>825</v>
      </c>
      <c r="I24" s="113"/>
      <c r="J24" s="113"/>
      <c r="K24" s="115"/>
      <c r="L24" s="115"/>
      <c r="M24" s="114"/>
      <c r="N24" s="114"/>
      <c r="O24" s="114"/>
      <c r="P24" s="114"/>
      <c r="Q24" s="115"/>
      <c r="R24" s="121" t="s">
        <v>826</v>
      </c>
      <c r="S24" s="113"/>
      <c r="T24" s="113"/>
      <c r="U24" s="124"/>
      <c r="V24" s="124"/>
      <c r="W24" s="124"/>
    </row>
    <row r="25">
      <c r="A25" s="94"/>
      <c r="B25" s="138"/>
      <c r="C25" s="120" t="s">
        <v>133</v>
      </c>
      <c r="D25" s="120"/>
      <c r="E25" s="120"/>
      <c r="F25" s="125" t="s">
        <v>827</v>
      </c>
      <c r="G25" s="126">
        <v>2025.0</v>
      </c>
      <c r="H25" s="115"/>
      <c r="I25" s="113"/>
      <c r="J25" s="113"/>
      <c r="K25" s="115"/>
      <c r="L25" s="115"/>
      <c r="M25" s="114"/>
      <c r="N25" s="114"/>
      <c r="O25" s="114"/>
      <c r="P25" s="114"/>
      <c r="Q25" s="115"/>
      <c r="R25" s="121" t="s">
        <v>828</v>
      </c>
      <c r="S25" s="128"/>
      <c r="T25" s="113"/>
      <c r="U25" s="124"/>
      <c r="V25" s="124"/>
      <c r="W25" s="124"/>
    </row>
    <row r="26">
      <c r="A26" s="94"/>
      <c r="B26" s="94"/>
      <c r="C26" s="120" t="s">
        <v>124</v>
      </c>
      <c r="D26" s="120"/>
      <c r="E26" s="120"/>
      <c r="F26" s="125" t="s">
        <v>829</v>
      </c>
      <c r="G26" s="126">
        <v>2023.0</v>
      </c>
      <c r="H26" s="115"/>
      <c r="I26" s="113"/>
      <c r="J26" s="113"/>
      <c r="K26" s="115"/>
      <c r="L26" s="115"/>
      <c r="M26" s="114"/>
      <c r="N26" s="114"/>
      <c r="O26" s="114"/>
      <c r="P26" s="114"/>
      <c r="Q26" s="115"/>
      <c r="R26" s="121" t="s">
        <v>830</v>
      </c>
      <c r="S26" s="128"/>
      <c r="T26" s="113"/>
      <c r="U26" s="124"/>
      <c r="V26" s="124"/>
      <c r="W26" s="124"/>
    </row>
    <row r="27">
      <c r="A27" s="101"/>
      <c r="B27" s="101"/>
      <c r="C27" s="120" t="s">
        <v>133</v>
      </c>
      <c r="D27" s="120"/>
      <c r="E27" s="120"/>
      <c r="F27" s="125" t="s">
        <v>831</v>
      </c>
      <c r="G27" s="126">
        <v>2023.0</v>
      </c>
      <c r="H27" s="115"/>
      <c r="I27" s="113"/>
      <c r="J27" s="113"/>
      <c r="K27" s="115"/>
      <c r="L27" s="115"/>
      <c r="M27" s="114"/>
      <c r="N27" s="114"/>
      <c r="O27" s="114"/>
      <c r="P27" s="114"/>
      <c r="Q27" s="115"/>
      <c r="R27" s="121" t="s">
        <v>832</v>
      </c>
      <c r="S27" s="128"/>
      <c r="T27" s="113"/>
      <c r="U27" s="124"/>
      <c r="V27" s="124"/>
      <c r="W27" s="124"/>
    </row>
    <row r="28">
      <c r="A28" s="101"/>
      <c r="B28" s="101"/>
      <c r="C28" s="120" t="s">
        <v>133</v>
      </c>
      <c r="D28" s="120"/>
      <c r="E28" s="120"/>
      <c r="F28" s="125" t="s">
        <v>833</v>
      </c>
      <c r="G28" s="126">
        <v>2024.0</v>
      </c>
      <c r="H28" s="115"/>
      <c r="I28" s="113"/>
      <c r="J28" s="113"/>
      <c r="K28" s="115"/>
      <c r="L28" s="115"/>
      <c r="M28" s="114"/>
      <c r="N28" s="114"/>
      <c r="O28" s="114"/>
      <c r="P28" s="114"/>
      <c r="Q28" s="115"/>
      <c r="R28" s="121" t="s">
        <v>834</v>
      </c>
      <c r="S28" s="128"/>
      <c r="T28" s="113"/>
      <c r="U28" s="124"/>
      <c r="V28" s="124"/>
      <c r="W28" s="124"/>
    </row>
    <row r="29">
      <c r="A29" s="94"/>
      <c r="B29" s="94"/>
      <c r="C29" s="120" t="s">
        <v>133</v>
      </c>
      <c r="D29" s="120"/>
      <c r="E29" s="120"/>
      <c r="F29" s="125" t="s">
        <v>835</v>
      </c>
      <c r="G29" s="126">
        <v>2023.0</v>
      </c>
      <c r="H29" s="115"/>
      <c r="I29" s="113"/>
      <c r="J29" s="113"/>
      <c r="K29" s="115"/>
      <c r="L29" s="115"/>
      <c r="M29" s="114"/>
      <c r="N29" s="114"/>
      <c r="O29" s="114"/>
      <c r="P29" s="114"/>
      <c r="Q29" s="115"/>
      <c r="R29" s="121" t="s">
        <v>836</v>
      </c>
      <c r="S29" s="128"/>
      <c r="T29" s="113"/>
      <c r="U29" s="124"/>
      <c r="V29" s="124"/>
      <c r="W29" s="124"/>
    </row>
    <row r="30">
      <c r="A30" s="101"/>
      <c r="B30" s="101"/>
      <c r="C30" s="120" t="s">
        <v>133</v>
      </c>
      <c r="D30" s="120"/>
      <c r="E30" s="120"/>
      <c r="F30" s="125" t="s">
        <v>837</v>
      </c>
      <c r="G30" s="126">
        <v>2023.0</v>
      </c>
      <c r="H30" s="115"/>
      <c r="I30" s="113"/>
      <c r="J30" s="113"/>
      <c r="K30" s="115"/>
      <c r="L30" s="115"/>
      <c r="M30" s="114"/>
      <c r="N30" s="114"/>
      <c r="O30" s="114"/>
      <c r="P30" s="114"/>
      <c r="Q30" s="115"/>
      <c r="R30" s="121" t="s">
        <v>838</v>
      </c>
      <c r="S30" s="128"/>
      <c r="T30" s="113"/>
      <c r="U30" s="124"/>
      <c r="V30" s="124"/>
      <c r="W30" s="124"/>
    </row>
    <row r="31">
      <c r="A31" s="94"/>
      <c r="B31" s="94"/>
      <c r="C31" s="120" t="s">
        <v>133</v>
      </c>
      <c r="D31" s="120"/>
      <c r="E31" s="120"/>
      <c r="F31" s="125" t="s">
        <v>839</v>
      </c>
      <c r="G31" s="126">
        <v>2021.0</v>
      </c>
      <c r="H31" s="115"/>
      <c r="I31" s="113"/>
      <c r="J31" s="113"/>
      <c r="K31" s="115"/>
      <c r="L31" s="115"/>
      <c r="M31" s="114"/>
      <c r="N31" s="114"/>
      <c r="O31" s="114"/>
      <c r="P31" s="114"/>
      <c r="Q31" s="115"/>
      <c r="R31" s="121" t="s">
        <v>840</v>
      </c>
      <c r="S31" s="128"/>
      <c r="T31" s="113"/>
      <c r="U31" s="124"/>
      <c r="V31" s="124"/>
      <c r="W31" s="124"/>
    </row>
    <row r="32">
      <c r="A32" s="94"/>
      <c r="B32" s="94"/>
      <c r="C32" s="120" t="s">
        <v>133</v>
      </c>
      <c r="D32" s="120"/>
      <c r="E32" s="120"/>
      <c r="F32" s="125" t="s">
        <v>841</v>
      </c>
      <c r="G32" s="126">
        <v>2021.0</v>
      </c>
      <c r="H32" s="115"/>
      <c r="I32" s="113"/>
      <c r="J32" s="113"/>
      <c r="K32" s="115"/>
      <c r="L32" s="115"/>
      <c r="M32" s="114"/>
      <c r="N32" s="114"/>
      <c r="O32" s="114"/>
      <c r="P32" s="114"/>
      <c r="Q32" s="115"/>
      <c r="R32" s="121" t="s">
        <v>842</v>
      </c>
      <c r="S32" s="128"/>
      <c r="T32" s="113"/>
      <c r="U32" s="124"/>
      <c r="V32" s="124"/>
      <c r="W32" s="124"/>
    </row>
    <row r="33">
      <c r="A33" s="94"/>
      <c r="B33" s="94"/>
      <c r="C33" s="120"/>
      <c r="D33" s="120"/>
      <c r="E33" s="120"/>
      <c r="F33" s="113"/>
      <c r="G33" s="114"/>
      <c r="H33" s="115"/>
      <c r="I33" s="113"/>
      <c r="J33" s="113"/>
      <c r="K33" s="115"/>
      <c r="L33" s="115"/>
      <c r="M33" s="114"/>
      <c r="N33" s="114"/>
      <c r="O33" s="114"/>
      <c r="P33" s="114"/>
      <c r="Q33" s="115"/>
      <c r="R33" s="113"/>
      <c r="S33" s="128"/>
      <c r="T33" s="113"/>
      <c r="U33" s="124"/>
      <c r="V33" s="124"/>
      <c r="W33" s="124"/>
    </row>
    <row r="34">
      <c r="A34" s="94"/>
      <c r="B34" s="94"/>
      <c r="C34" s="120"/>
      <c r="D34" s="120"/>
      <c r="E34" s="120"/>
      <c r="F34" s="113"/>
      <c r="G34" s="114"/>
      <c r="H34" s="115"/>
      <c r="I34" s="113"/>
      <c r="J34" s="113"/>
      <c r="K34" s="115"/>
      <c r="L34" s="115"/>
      <c r="M34" s="114"/>
      <c r="N34" s="114"/>
      <c r="O34" s="114"/>
      <c r="P34" s="114"/>
      <c r="Q34" s="115"/>
      <c r="R34" s="113"/>
      <c r="S34" s="128"/>
      <c r="T34" s="113"/>
      <c r="U34" s="124"/>
      <c r="V34" s="124"/>
      <c r="W34" s="124"/>
    </row>
    <row r="35">
      <c r="A35" s="94"/>
      <c r="B35" s="94"/>
      <c r="C35" s="120"/>
      <c r="D35" s="120"/>
      <c r="E35" s="120"/>
      <c r="F35" s="113"/>
      <c r="G35" s="114"/>
      <c r="H35" s="115"/>
      <c r="I35" s="113"/>
      <c r="J35" s="113"/>
      <c r="K35" s="115"/>
      <c r="L35" s="115"/>
      <c r="M35" s="114"/>
      <c r="N35" s="114"/>
      <c r="O35" s="114"/>
      <c r="P35" s="114"/>
      <c r="Q35" s="115"/>
      <c r="R35" s="113"/>
      <c r="S35" s="128"/>
      <c r="T35" s="113"/>
      <c r="U35" s="124"/>
      <c r="V35" s="124"/>
      <c r="W35" s="124"/>
    </row>
    <row r="36">
      <c r="A36" s="94"/>
      <c r="B36" s="138"/>
      <c r="C36" s="120"/>
      <c r="D36" s="120"/>
      <c r="E36" s="120"/>
      <c r="F36" s="113"/>
      <c r="G36" s="114"/>
      <c r="H36" s="115"/>
      <c r="I36" s="113"/>
      <c r="J36" s="113"/>
      <c r="K36" s="115"/>
      <c r="L36" s="115"/>
      <c r="M36" s="114"/>
      <c r="N36" s="114"/>
      <c r="O36" s="114"/>
      <c r="P36" s="114"/>
      <c r="Q36" s="115"/>
      <c r="R36" s="113"/>
      <c r="S36" s="128"/>
      <c r="T36" s="113"/>
      <c r="U36" s="124"/>
      <c r="V36" s="124"/>
      <c r="W36" s="124"/>
    </row>
    <row r="37">
      <c r="A37" s="94"/>
      <c r="B37" s="94"/>
      <c r="C37" s="120"/>
      <c r="D37" s="120"/>
      <c r="E37" s="120"/>
      <c r="F37" s="113"/>
      <c r="G37" s="114"/>
      <c r="H37" s="115"/>
      <c r="I37" s="113"/>
      <c r="J37" s="113"/>
      <c r="K37" s="115"/>
      <c r="L37" s="115"/>
      <c r="M37" s="114"/>
      <c r="N37" s="114"/>
      <c r="O37" s="114"/>
      <c r="P37" s="114"/>
      <c r="Q37" s="115"/>
      <c r="R37" s="113"/>
      <c r="S37" s="128"/>
      <c r="T37" s="113"/>
      <c r="U37" s="124"/>
      <c r="V37" s="124"/>
      <c r="W37" s="124"/>
    </row>
    <row r="38">
      <c r="A38" s="94"/>
      <c r="B38" s="138"/>
      <c r="C38" s="120"/>
      <c r="D38" s="120"/>
      <c r="E38" s="120"/>
      <c r="F38" s="113"/>
      <c r="G38" s="114"/>
      <c r="H38" s="115"/>
      <c r="I38" s="113"/>
      <c r="J38" s="113"/>
      <c r="K38" s="115"/>
      <c r="L38" s="115"/>
      <c r="M38" s="114"/>
      <c r="N38" s="114"/>
      <c r="O38" s="114"/>
      <c r="P38" s="114"/>
      <c r="Q38" s="115"/>
      <c r="R38" s="113"/>
      <c r="S38" s="128"/>
      <c r="T38" s="113"/>
      <c r="U38" s="124"/>
      <c r="V38" s="124"/>
      <c r="W38" s="124"/>
    </row>
    <row r="39">
      <c r="A39" s="101"/>
      <c r="B39" s="101"/>
      <c r="C39" s="120"/>
      <c r="D39" s="120"/>
      <c r="E39" s="120"/>
      <c r="F39" s="113"/>
      <c r="G39" s="114"/>
      <c r="H39" s="115"/>
      <c r="I39" s="113"/>
      <c r="J39" s="113"/>
      <c r="K39" s="115"/>
      <c r="L39" s="115"/>
      <c r="M39" s="114"/>
      <c r="N39" s="114"/>
      <c r="O39" s="114"/>
      <c r="P39" s="114"/>
      <c r="Q39" s="115"/>
      <c r="R39" s="113"/>
      <c r="S39" s="128"/>
      <c r="T39" s="113"/>
      <c r="U39" s="124"/>
      <c r="V39" s="124"/>
      <c r="W39" s="124"/>
    </row>
    <row r="40">
      <c r="A40" s="94"/>
      <c r="B40" s="138"/>
      <c r="C40" s="120"/>
      <c r="D40" s="120"/>
      <c r="E40" s="120"/>
      <c r="F40" s="113"/>
      <c r="G40" s="114"/>
      <c r="H40" s="115"/>
      <c r="I40" s="113"/>
      <c r="J40" s="113"/>
      <c r="K40" s="115"/>
      <c r="L40" s="115"/>
      <c r="M40" s="114"/>
      <c r="N40" s="114"/>
      <c r="O40" s="114"/>
      <c r="P40" s="114"/>
      <c r="Q40" s="115"/>
      <c r="R40" s="113"/>
      <c r="S40" s="128"/>
      <c r="T40" s="113"/>
      <c r="U40" s="124"/>
      <c r="V40" s="124"/>
      <c r="W40" s="124"/>
    </row>
    <row r="41">
      <c r="A41" s="101"/>
      <c r="B41" s="101"/>
      <c r="C41" s="120"/>
      <c r="D41" s="120"/>
      <c r="E41" s="120"/>
      <c r="F41" s="113"/>
      <c r="G41" s="114"/>
      <c r="H41" s="115"/>
      <c r="I41" s="113"/>
      <c r="J41" s="113"/>
      <c r="K41" s="115"/>
      <c r="L41" s="115"/>
      <c r="M41" s="114"/>
      <c r="N41" s="114"/>
      <c r="O41" s="114"/>
      <c r="P41" s="114"/>
      <c r="Q41" s="115"/>
      <c r="R41" s="113"/>
      <c r="S41" s="128"/>
      <c r="T41" s="113"/>
      <c r="U41" s="124"/>
      <c r="V41" s="124"/>
      <c r="W41" s="124"/>
    </row>
    <row r="42">
      <c r="A42" s="101"/>
      <c r="B42" s="101"/>
      <c r="C42" s="120"/>
      <c r="D42" s="120"/>
      <c r="E42" s="120"/>
      <c r="F42" s="113"/>
      <c r="G42" s="114"/>
      <c r="H42" s="115"/>
      <c r="I42" s="113"/>
      <c r="J42" s="113"/>
      <c r="K42" s="115"/>
      <c r="L42" s="115"/>
      <c r="M42" s="114"/>
      <c r="N42" s="114"/>
      <c r="O42" s="114"/>
      <c r="P42" s="114"/>
      <c r="Q42" s="115"/>
      <c r="R42" s="113"/>
      <c r="S42" s="128"/>
      <c r="T42" s="113"/>
      <c r="U42" s="124"/>
      <c r="V42" s="124"/>
      <c r="W42" s="124"/>
    </row>
    <row r="43">
      <c r="A43" s="101"/>
      <c r="B43" s="101"/>
      <c r="C43" s="120"/>
      <c r="D43" s="120"/>
      <c r="E43" s="120"/>
      <c r="F43" s="113"/>
      <c r="G43" s="114"/>
      <c r="H43" s="115"/>
      <c r="I43" s="113"/>
      <c r="J43" s="113"/>
      <c r="K43" s="115"/>
      <c r="L43" s="115"/>
      <c r="M43" s="114"/>
      <c r="N43" s="114"/>
      <c r="O43" s="114"/>
      <c r="P43" s="114"/>
      <c r="Q43" s="115"/>
      <c r="R43" s="113"/>
      <c r="S43" s="128"/>
      <c r="T43" s="113"/>
      <c r="U43" s="124"/>
      <c r="V43" s="124"/>
      <c r="W43" s="124"/>
    </row>
    <row r="44">
      <c r="A44" s="94"/>
      <c r="B44" s="138"/>
      <c r="C44" s="120"/>
      <c r="D44" s="120"/>
      <c r="E44" s="120"/>
      <c r="F44" s="113"/>
      <c r="G44" s="114"/>
      <c r="H44" s="140"/>
      <c r="I44" s="113"/>
      <c r="J44" s="113"/>
      <c r="K44" s="114"/>
      <c r="L44" s="114"/>
      <c r="M44" s="114"/>
      <c r="N44" s="114"/>
      <c r="O44" s="114"/>
      <c r="P44" s="114"/>
      <c r="Q44" s="115"/>
      <c r="R44" s="113"/>
      <c r="S44" s="113"/>
      <c r="T44" s="140"/>
      <c r="U44" s="124"/>
      <c r="V44" s="124"/>
      <c r="W44" s="124"/>
    </row>
    <row r="45">
      <c r="A45" s="94"/>
      <c r="B45" s="94"/>
      <c r="C45" s="120"/>
      <c r="D45" s="120"/>
      <c r="E45" s="120"/>
      <c r="F45" s="113"/>
      <c r="G45" s="114"/>
      <c r="H45" s="115"/>
      <c r="I45" s="113"/>
      <c r="J45" s="113"/>
      <c r="K45" s="115"/>
      <c r="L45" s="115"/>
      <c r="M45" s="114"/>
      <c r="N45" s="114"/>
      <c r="O45" s="114"/>
      <c r="P45" s="114"/>
      <c r="Q45" s="115"/>
      <c r="R45" s="113"/>
      <c r="S45" s="128"/>
      <c r="T45" s="113"/>
      <c r="U45" s="124"/>
      <c r="V45" s="124"/>
      <c r="W45" s="124"/>
    </row>
    <row r="46">
      <c r="A46" s="94"/>
      <c r="B46" s="94"/>
      <c r="C46" s="120"/>
      <c r="D46" s="120"/>
      <c r="E46" s="120"/>
      <c r="F46" s="113"/>
      <c r="G46" s="114"/>
      <c r="H46" s="115"/>
      <c r="I46" s="113"/>
      <c r="J46" s="113"/>
      <c r="K46" s="115"/>
      <c r="L46" s="115"/>
      <c r="M46" s="114"/>
      <c r="N46" s="114"/>
      <c r="O46" s="114"/>
      <c r="P46" s="114"/>
      <c r="Q46" s="115"/>
      <c r="R46" s="113"/>
      <c r="S46" s="128"/>
      <c r="T46" s="113"/>
      <c r="U46" s="124"/>
      <c r="V46" s="124"/>
      <c r="W46" s="124"/>
    </row>
    <row r="47">
      <c r="A47" s="101"/>
      <c r="B47" s="101"/>
      <c r="C47" s="120"/>
      <c r="D47" s="120"/>
      <c r="E47" s="120"/>
      <c r="F47" s="113"/>
      <c r="G47" s="114"/>
      <c r="H47" s="115"/>
      <c r="I47" s="113"/>
      <c r="J47" s="113"/>
      <c r="K47" s="115"/>
      <c r="L47" s="115"/>
      <c r="M47" s="114"/>
      <c r="N47" s="114"/>
      <c r="O47" s="114"/>
      <c r="P47" s="114"/>
      <c r="Q47" s="115"/>
      <c r="R47" s="113"/>
      <c r="S47" s="128"/>
      <c r="T47" s="113"/>
      <c r="U47" s="124"/>
      <c r="V47" s="124"/>
      <c r="W47" s="124"/>
    </row>
    <row r="48">
      <c r="A48" s="94"/>
      <c r="B48" s="138"/>
      <c r="C48" s="120"/>
      <c r="D48" s="120"/>
      <c r="E48" s="120"/>
      <c r="F48" s="113"/>
      <c r="G48" s="114"/>
      <c r="H48" s="115"/>
      <c r="I48" s="113"/>
      <c r="J48" s="113"/>
      <c r="K48" s="115"/>
      <c r="L48" s="115"/>
      <c r="M48" s="114"/>
      <c r="N48" s="114"/>
      <c r="O48" s="114"/>
      <c r="P48" s="114"/>
      <c r="Q48" s="115"/>
      <c r="R48" s="113"/>
      <c r="S48" s="128"/>
      <c r="T48" s="113"/>
      <c r="U48" s="124"/>
      <c r="V48" s="124"/>
      <c r="W48" s="124"/>
    </row>
    <row r="49">
      <c r="A49" s="101"/>
      <c r="B49" s="101"/>
      <c r="C49" s="120"/>
      <c r="D49" s="120"/>
      <c r="E49" s="120"/>
      <c r="F49" s="113"/>
      <c r="G49" s="114"/>
      <c r="H49" s="115"/>
      <c r="I49" s="113"/>
      <c r="J49" s="113"/>
      <c r="K49" s="115"/>
      <c r="L49" s="115"/>
      <c r="M49" s="114"/>
      <c r="N49" s="114"/>
      <c r="O49" s="114"/>
      <c r="P49" s="114"/>
      <c r="Q49" s="115"/>
      <c r="R49" s="113"/>
      <c r="S49" s="128"/>
      <c r="T49" s="113"/>
      <c r="U49" s="124"/>
      <c r="V49" s="124"/>
      <c r="W49" s="124"/>
    </row>
    <row r="50">
      <c r="A50" s="94"/>
      <c r="B50" s="94"/>
      <c r="C50" s="120"/>
      <c r="D50" s="120"/>
      <c r="E50" s="120"/>
      <c r="F50" s="113"/>
      <c r="G50" s="114"/>
      <c r="H50" s="115"/>
      <c r="I50" s="113"/>
      <c r="J50" s="113"/>
      <c r="K50" s="115"/>
      <c r="L50" s="115"/>
      <c r="M50" s="114"/>
      <c r="N50" s="114"/>
      <c r="O50" s="114"/>
      <c r="P50" s="114"/>
      <c r="Q50" s="115"/>
      <c r="R50" s="113"/>
      <c r="S50" s="128"/>
      <c r="T50" s="113"/>
      <c r="U50" s="124"/>
      <c r="V50" s="124"/>
      <c r="W50" s="124"/>
    </row>
    <row r="51">
      <c r="A51" s="94"/>
      <c r="B51" s="94"/>
      <c r="C51" s="120"/>
      <c r="D51" s="120"/>
      <c r="E51" s="120"/>
      <c r="F51" s="113"/>
      <c r="G51" s="114"/>
      <c r="H51" s="115"/>
      <c r="I51" s="113"/>
      <c r="J51" s="113"/>
      <c r="K51" s="115"/>
      <c r="L51" s="115"/>
      <c r="M51" s="114"/>
      <c r="N51" s="114"/>
      <c r="O51" s="114"/>
      <c r="P51" s="114"/>
      <c r="Q51" s="115"/>
      <c r="R51" s="113"/>
      <c r="S51" s="128"/>
      <c r="T51" s="113"/>
      <c r="U51" s="124"/>
      <c r="V51" s="124"/>
      <c r="W51" s="124"/>
    </row>
    <row r="52">
      <c r="A52" s="101"/>
      <c r="B52" s="101"/>
      <c r="C52" s="120"/>
      <c r="D52" s="120"/>
      <c r="E52" s="120"/>
      <c r="F52" s="113"/>
      <c r="G52" s="114"/>
      <c r="H52" s="115"/>
      <c r="I52" s="113"/>
      <c r="J52" s="113"/>
      <c r="K52" s="115"/>
      <c r="L52" s="115"/>
      <c r="M52" s="114"/>
      <c r="N52" s="114"/>
      <c r="O52" s="114"/>
      <c r="P52" s="114"/>
      <c r="Q52" s="115"/>
      <c r="R52" s="113"/>
      <c r="S52" s="128"/>
      <c r="T52" s="113"/>
      <c r="U52" s="124"/>
      <c r="V52" s="124"/>
      <c r="W52" s="124"/>
    </row>
    <row r="53">
      <c r="A53" s="101"/>
      <c r="B53" s="101"/>
      <c r="C53" s="120"/>
      <c r="D53" s="120"/>
      <c r="E53" s="120"/>
      <c r="F53" s="113"/>
      <c r="G53" s="114"/>
      <c r="H53" s="115"/>
      <c r="I53" s="113"/>
      <c r="J53" s="113"/>
      <c r="K53" s="115"/>
      <c r="L53" s="115"/>
      <c r="M53" s="114"/>
      <c r="N53" s="114"/>
      <c r="O53" s="114"/>
      <c r="P53" s="114"/>
      <c r="Q53" s="115"/>
      <c r="R53" s="113"/>
      <c r="S53" s="128"/>
      <c r="T53" s="113"/>
      <c r="U53" s="124"/>
      <c r="V53" s="124"/>
      <c r="W53" s="124"/>
    </row>
    <row r="54">
      <c r="A54" s="94"/>
      <c r="B54" s="94"/>
      <c r="C54" s="120"/>
      <c r="D54" s="120"/>
      <c r="E54" s="120"/>
      <c r="F54" s="113"/>
      <c r="G54" s="114"/>
      <c r="H54" s="115"/>
      <c r="I54" s="113"/>
      <c r="J54" s="113"/>
      <c r="K54" s="115"/>
      <c r="L54" s="115"/>
      <c r="M54" s="114"/>
      <c r="N54" s="114"/>
      <c r="O54" s="114"/>
      <c r="P54" s="114"/>
      <c r="Q54" s="115"/>
      <c r="R54" s="113"/>
      <c r="S54" s="113"/>
      <c r="T54" s="113"/>
      <c r="U54" s="124"/>
      <c r="V54" s="124"/>
      <c r="W54" s="124"/>
    </row>
    <row r="55">
      <c r="A55" s="94"/>
      <c r="B55" s="94"/>
      <c r="C55" s="120"/>
      <c r="D55" s="120"/>
      <c r="E55" s="120"/>
      <c r="F55" s="113"/>
      <c r="G55" s="114"/>
      <c r="H55" s="115"/>
      <c r="I55" s="113"/>
      <c r="J55" s="113"/>
      <c r="K55" s="115"/>
      <c r="L55" s="115"/>
      <c r="M55" s="114"/>
      <c r="N55" s="114"/>
      <c r="O55" s="114"/>
      <c r="P55" s="114"/>
      <c r="Q55" s="115"/>
      <c r="R55" s="113"/>
      <c r="S55" s="113"/>
      <c r="T55" s="113"/>
      <c r="U55" s="124"/>
      <c r="V55" s="124"/>
      <c r="W55" s="124"/>
    </row>
    <row r="56">
      <c r="A56" s="101"/>
      <c r="B56" s="101"/>
      <c r="C56" s="120"/>
      <c r="D56" s="120"/>
      <c r="E56" s="120"/>
      <c r="F56" s="113"/>
      <c r="G56" s="114"/>
      <c r="H56" s="115"/>
      <c r="I56" s="113"/>
      <c r="J56" s="113"/>
      <c r="K56" s="115"/>
      <c r="L56" s="115"/>
      <c r="M56" s="114"/>
      <c r="N56" s="114"/>
      <c r="O56" s="114"/>
      <c r="P56" s="114"/>
      <c r="Q56" s="115"/>
      <c r="R56" s="113"/>
      <c r="S56" s="113"/>
      <c r="T56" s="113"/>
      <c r="U56" s="124"/>
      <c r="V56" s="124"/>
      <c r="W56" s="124"/>
    </row>
    <row r="57">
      <c r="A57" s="94"/>
      <c r="B57" s="94"/>
      <c r="C57" s="120"/>
      <c r="D57" s="120"/>
      <c r="E57" s="120"/>
      <c r="F57" s="113"/>
      <c r="G57" s="114"/>
      <c r="H57" s="115"/>
      <c r="I57" s="113"/>
      <c r="J57" s="113"/>
      <c r="K57" s="115"/>
      <c r="L57" s="115"/>
      <c r="M57" s="114"/>
      <c r="N57" s="114"/>
      <c r="O57" s="114"/>
      <c r="P57" s="114"/>
      <c r="Q57" s="115"/>
      <c r="R57" s="113"/>
      <c r="S57" s="113"/>
      <c r="T57" s="113"/>
      <c r="U57" s="124"/>
      <c r="V57" s="124"/>
      <c r="W57" s="124"/>
    </row>
    <row r="58">
      <c r="A58" s="94"/>
      <c r="B58" s="94"/>
      <c r="C58" s="120"/>
      <c r="D58" s="120"/>
      <c r="E58" s="120"/>
      <c r="F58" s="113"/>
      <c r="G58" s="114"/>
      <c r="H58" s="115"/>
      <c r="I58" s="113"/>
      <c r="J58" s="113"/>
      <c r="K58" s="115"/>
      <c r="L58" s="115"/>
      <c r="M58" s="114"/>
      <c r="N58" s="114"/>
      <c r="O58" s="114"/>
      <c r="P58" s="114"/>
      <c r="Q58" s="115"/>
      <c r="R58" s="113"/>
      <c r="S58" s="128"/>
      <c r="T58" s="113"/>
      <c r="U58" s="124"/>
      <c r="V58" s="124"/>
      <c r="W58" s="124"/>
    </row>
    <row r="59">
      <c r="A59" s="94"/>
      <c r="B59" s="94"/>
      <c r="C59" s="120"/>
      <c r="D59" s="120"/>
      <c r="E59" s="120"/>
      <c r="F59" s="113"/>
      <c r="G59" s="114"/>
      <c r="H59" s="115"/>
      <c r="I59" s="113"/>
      <c r="J59" s="113"/>
      <c r="K59" s="115"/>
      <c r="L59" s="115"/>
      <c r="M59" s="114"/>
      <c r="N59" s="114"/>
      <c r="O59" s="114"/>
      <c r="P59" s="114"/>
      <c r="Q59" s="115"/>
      <c r="R59" s="113"/>
      <c r="S59" s="113"/>
      <c r="T59" s="113"/>
      <c r="U59" s="124"/>
      <c r="V59" s="124"/>
      <c r="W59" s="124"/>
    </row>
    <row r="60">
      <c r="A60" s="94"/>
      <c r="B60" s="94"/>
      <c r="C60" s="120"/>
      <c r="D60" s="120"/>
      <c r="E60" s="120"/>
      <c r="F60" s="113"/>
      <c r="G60" s="114"/>
      <c r="H60" s="115"/>
      <c r="I60" s="113"/>
      <c r="J60" s="113"/>
      <c r="K60" s="115"/>
      <c r="L60" s="115"/>
      <c r="M60" s="114"/>
      <c r="N60" s="114"/>
      <c r="O60" s="114"/>
      <c r="P60" s="114"/>
      <c r="Q60" s="115"/>
      <c r="R60" s="113"/>
      <c r="S60" s="113"/>
      <c r="T60" s="113"/>
      <c r="U60" s="124"/>
      <c r="V60" s="124"/>
      <c r="W60" s="124"/>
    </row>
    <row r="61">
      <c r="A61" s="94"/>
      <c r="B61" s="94"/>
      <c r="C61" s="120"/>
      <c r="D61" s="120"/>
      <c r="E61" s="120"/>
      <c r="F61" s="113"/>
      <c r="G61" s="114"/>
      <c r="H61" s="115"/>
      <c r="I61" s="113"/>
      <c r="J61" s="113"/>
      <c r="K61" s="115"/>
      <c r="L61" s="115"/>
      <c r="M61" s="114"/>
      <c r="N61" s="114"/>
      <c r="O61" s="114"/>
      <c r="P61" s="114"/>
      <c r="Q61" s="115"/>
      <c r="R61" s="113"/>
      <c r="S61" s="113"/>
      <c r="T61" s="113"/>
      <c r="U61" s="124"/>
      <c r="V61" s="124"/>
      <c r="W61" s="124"/>
    </row>
    <row r="62">
      <c r="A62" s="94"/>
      <c r="B62" s="94"/>
      <c r="C62" s="120"/>
      <c r="D62" s="120"/>
      <c r="E62" s="120"/>
      <c r="F62" s="113"/>
      <c r="G62" s="114"/>
      <c r="H62" s="115"/>
      <c r="I62" s="113"/>
      <c r="J62" s="113"/>
      <c r="K62" s="115"/>
      <c r="L62" s="115"/>
      <c r="M62" s="114"/>
      <c r="N62" s="114"/>
      <c r="O62" s="114"/>
      <c r="P62" s="114"/>
      <c r="Q62" s="115"/>
      <c r="R62" s="113"/>
      <c r="S62" s="128"/>
      <c r="T62" s="113"/>
      <c r="U62" s="124"/>
      <c r="V62" s="124"/>
      <c r="W62" s="124"/>
    </row>
    <row r="63">
      <c r="A63" s="94"/>
      <c r="B63" s="94"/>
      <c r="C63" s="120"/>
      <c r="D63" s="120"/>
      <c r="E63" s="120"/>
      <c r="F63" s="113"/>
      <c r="G63" s="114"/>
      <c r="H63" s="115"/>
      <c r="I63" s="113"/>
      <c r="J63" s="113"/>
      <c r="K63" s="115"/>
      <c r="L63" s="115"/>
      <c r="M63" s="114"/>
      <c r="N63" s="114"/>
      <c r="O63" s="114"/>
      <c r="P63" s="114"/>
      <c r="Q63" s="115"/>
      <c r="R63" s="113"/>
      <c r="S63" s="128"/>
      <c r="T63" s="113"/>
      <c r="U63" s="124"/>
      <c r="V63" s="124"/>
      <c r="W63" s="124"/>
    </row>
    <row r="64">
      <c r="A64" s="101"/>
      <c r="B64" s="101"/>
      <c r="C64" s="120"/>
      <c r="D64" s="120"/>
      <c r="E64" s="120"/>
      <c r="F64" s="113"/>
      <c r="G64" s="114"/>
      <c r="H64" s="115"/>
      <c r="I64" s="113"/>
      <c r="J64" s="113"/>
      <c r="K64" s="115"/>
      <c r="L64" s="115"/>
      <c r="M64" s="114"/>
      <c r="N64" s="114"/>
      <c r="O64" s="114"/>
      <c r="P64" s="114"/>
      <c r="Q64" s="115"/>
      <c r="R64" s="113"/>
      <c r="S64" s="128"/>
      <c r="T64" s="113"/>
      <c r="U64" s="124"/>
      <c r="V64" s="124"/>
      <c r="W64" s="124"/>
    </row>
    <row r="65">
      <c r="A65" s="94"/>
      <c r="B65" s="94"/>
      <c r="C65" s="120"/>
      <c r="D65" s="120"/>
      <c r="E65" s="120"/>
      <c r="F65" s="113"/>
      <c r="G65" s="114"/>
      <c r="H65" s="115"/>
      <c r="I65" s="113"/>
      <c r="J65" s="113"/>
      <c r="K65" s="115"/>
      <c r="L65" s="115"/>
      <c r="M65" s="114"/>
      <c r="N65" s="114"/>
      <c r="O65" s="114"/>
      <c r="P65" s="114"/>
      <c r="Q65" s="115"/>
      <c r="R65" s="113"/>
      <c r="S65" s="128"/>
      <c r="T65" s="113"/>
      <c r="U65" s="124"/>
      <c r="V65" s="124"/>
      <c r="W65" s="124"/>
    </row>
    <row r="66">
      <c r="A66" s="101"/>
      <c r="B66" s="101"/>
      <c r="C66" s="120"/>
      <c r="D66" s="120"/>
      <c r="E66" s="120"/>
      <c r="F66" s="113"/>
      <c r="G66" s="114"/>
      <c r="H66" s="115"/>
      <c r="I66" s="113"/>
      <c r="J66" s="113"/>
      <c r="K66" s="115"/>
      <c r="L66" s="115"/>
      <c r="M66" s="114"/>
      <c r="N66" s="114"/>
      <c r="O66" s="114"/>
      <c r="P66" s="114"/>
      <c r="Q66" s="115"/>
      <c r="R66" s="113"/>
      <c r="S66" s="128"/>
      <c r="T66" s="113"/>
      <c r="U66" s="124"/>
      <c r="V66" s="124"/>
      <c r="W66" s="124"/>
    </row>
    <row r="67">
      <c r="A67" s="94"/>
      <c r="B67" s="94"/>
      <c r="C67" s="120"/>
      <c r="D67" s="120"/>
      <c r="E67" s="120"/>
      <c r="F67" s="113"/>
      <c r="G67" s="114"/>
      <c r="H67" s="115"/>
      <c r="I67" s="113"/>
      <c r="J67" s="113"/>
      <c r="K67" s="115"/>
      <c r="L67" s="115"/>
      <c r="M67" s="114"/>
      <c r="N67" s="114"/>
      <c r="O67" s="114"/>
      <c r="P67" s="114"/>
      <c r="Q67" s="115"/>
      <c r="R67" s="113"/>
      <c r="S67" s="128"/>
      <c r="T67" s="113"/>
      <c r="U67" s="124"/>
      <c r="V67" s="124"/>
      <c r="W67" s="124"/>
    </row>
    <row r="68">
      <c r="A68" s="101"/>
      <c r="B68" s="101"/>
      <c r="C68" s="120"/>
      <c r="D68" s="120"/>
      <c r="E68" s="120"/>
      <c r="F68" s="113"/>
      <c r="G68" s="114"/>
      <c r="H68" s="115"/>
      <c r="I68" s="113"/>
      <c r="J68" s="113"/>
      <c r="K68" s="115"/>
      <c r="L68" s="115"/>
      <c r="M68" s="114"/>
      <c r="N68" s="114"/>
      <c r="O68" s="114"/>
      <c r="P68" s="114"/>
      <c r="Q68" s="115"/>
      <c r="R68" s="113"/>
      <c r="S68" s="128"/>
      <c r="T68" s="113"/>
      <c r="U68" s="124"/>
      <c r="V68" s="124"/>
      <c r="W68" s="124"/>
    </row>
    <row r="69">
      <c r="A69" s="94"/>
      <c r="B69" s="94"/>
      <c r="C69" s="120"/>
      <c r="D69" s="120"/>
      <c r="E69" s="120"/>
      <c r="F69" s="113"/>
      <c r="G69" s="114"/>
      <c r="H69" s="115"/>
      <c r="I69" s="113"/>
      <c r="J69" s="113"/>
      <c r="K69" s="115"/>
      <c r="L69" s="115"/>
      <c r="M69" s="114"/>
      <c r="N69" s="114"/>
      <c r="O69" s="114"/>
      <c r="P69" s="114"/>
      <c r="Q69" s="115"/>
      <c r="R69" s="113"/>
      <c r="S69" s="128"/>
      <c r="T69" s="113"/>
      <c r="U69" s="124"/>
      <c r="V69" s="124"/>
      <c r="W69" s="124"/>
    </row>
    <row r="70">
      <c r="A70" s="94"/>
      <c r="B70" s="94"/>
      <c r="C70" s="120"/>
      <c r="D70" s="120"/>
      <c r="E70" s="120"/>
      <c r="F70" s="113"/>
      <c r="G70" s="114"/>
      <c r="H70" s="115"/>
      <c r="I70" s="113"/>
      <c r="J70" s="113"/>
      <c r="K70" s="115"/>
      <c r="L70" s="115"/>
      <c r="M70" s="114"/>
      <c r="N70" s="114"/>
      <c r="O70" s="114"/>
      <c r="P70" s="114"/>
      <c r="Q70" s="115"/>
      <c r="R70" s="113"/>
      <c r="S70" s="128"/>
      <c r="T70" s="113"/>
      <c r="U70" s="124"/>
      <c r="V70" s="124"/>
      <c r="W70" s="124"/>
    </row>
    <row r="71">
      <c r="A71" s="101"/>
      <c r="B71" s="101"/>
      <c r="C71" s="120"/>
      <c r="D71" s="120"/>
      <c r="E71" s="120"/>
      <c r="F71" s="113"/>
      <c r="G71" s="114"/>
      <c r="H71" s="115"/>
      <c r="I71" s="113"/>
      <c r="J71" s="113"/>
      <c r="K71" s="115"/>
      <c r="L71" s="115"/>
      <c r="M71" s="114"/>
      <c r="N71" s="114"/>
      <c r="O71" s="114"/>
      <c r="P71" s="114"/>
      <c r="Q71" s="115"/>
      <c r="R71" s="113"/>
      <c r="S71" s="128"/>
      <c r="T71" s="113"/>
      <c r="U71" s="124"/>
      <c r="V71" s="124"/>
      <c r="W71" s="124"/>
    </row>
    <row r="72">
      <c r="A72" s="94"/>
      <c r="B72" s="138"/>
      <c r="C72" s="120"/>
      <c r="D72" s="120"/>
      <c r="E72" s="120"/>
      <c r="F72" s="113"/>
      <c r="G72" s="114"/>
      <c r="H72" s="115"/>
      <c r="I72" s="113"/>
      <c r="J72" s="113"/>
      <c r="K72" s="115"/>
      <c r="L72" s="115"/>
      <c r="M72" s="114"/>
      <c r="N72" s="114"/>
      <c r="O72" s="114"/>
      <c r="P72" s="114"/>
      <c r="Q72" s="115"/>
      <c r="R72" s="113"/>
      <c r="S72" s="128"/>
      <c r="T72" s="113"/>
      <c r="U72" s="124"/>
      <c r="V72" s="124"/>
      <c r="W72" s="124"/>
    </row>
    <row r="73">
      <c r="A73" s="94"/>
      <c r="B73" s="138"/>
      <c r="C73" s="120"/>
      <c r="D73" s="120"/>
      <c r="E73" s="120"/>
      <c r="F73" s="113"/>
      <c r="G73" s="114"/>
      <c r="H73" s="115"/>
      <c r="I73" s="113"/>
      <c r="J73" s="113"/>
      <c r="K73" s="115"/>
      <c r="L73" s="115"/>
      <c r="M73" s="114"/>
      <c r="N73" s="114"/>
      <c r="O73" s="114"/>
      <c r="P73" s="114"/>
      <c r="Q73" s="115"/>
      <c r="R73" s="113"/>
      <c r="S73" s="128"/>
      <c r="T73" s="113"/>
      <c r="U73" s="124"/>
      <c r="V73" s="124"/>
      <c r="W73" s="124"/>
    </row>
    <row r="74">
      <c r="A74" s="94"/>
      <c r="B74" s="94"/>
      <c r="C74" s="120"/>
      <c r="D74" s="120"/>
      <c r="E74" s="120"/>
      <c r="F74" s="113"/>
      <c r="G74" s="114"/>
      <c r="H74" s="115"/>
      <c r="I74" s="113"/>
      <c r="J74" s="113"/>
      <c r="K74" s="115"/>
      <c r="L74" s="115"/>
      <c r="M74" s="114"/>
      <c r="N74" s="114"/>
      <c r="O74" s="114"/>
      <c r="P74" s="114"/>
      <c r="Q74" s="115"/>
      <c r="R74" s="113"/>
      <c r="S74" s="128"/>
      <c r="T74" s="113"/>
      <c r="U74" s="124"/>
      <c r="V74" s="124"/>
      <c r="W74" s="124"/>
    </row>
    <row r="75">
      <c r="A75" s="94"/>
      <c r="B75" s="94"/>
      <c r="C75" s="120"/>
      <c r="D75" s="120"/>
      <c r="E75" s="120"/>
      <c r="F75" s="113"/>
      <c r="G75" s="114"/>
      <c r="H75" s="115"/>
      <c r="I75" s="113"/>
      <c r="J75" s="113"/>
      <c r="K75" s="115"/>
      <c r="L75" s="115"/>
      <c r="M75" s="114"/>
      <c r="N75" s="114"/>
      <c r="O75" s="114"/>
      <c r="P75" s="114"/>
      <c r="Q75" s="115"/>
      <c r="R75" s="113"/>
      <c r="S75" s="128"/>
      <c r="T75" s="113"/>
      <c r="U75" s="124"/>
      <c r="V75" s="124"/>
      <c r="W75" s="124"/>
    </row>
    <row r="76">
      <c r="A76" s="94"/>
      <c r="B76" s="94"/>
      <c r="C76" s="120"/>
      <c r="D76" s="120"/>
      <c r="E76" s="120"/>
      <c r="F76" s="113"/>
      <c r="G76" s="114"/>
      <c r="H76" s="115"/>
      <c r="I76" s="113"/>
      <c r="J76" s="113"/>
      <c r="K76" s="115"/>
      <c r="L76" s="115"/>
      <c r="M76" s="114"/>
      <c r="N76" s="114"/>
      <c r="O76" s="114"/>
      <c r="P76" s="114"/>
      <c r="Q76" s="115"/>
      <c r="R76" s="113"/>
      <c r="S76" s="128"/>
      <c r="T76" s="113"/>
      <c r="U76" s="124"/>
      <c r="V76" s="124"/>
      <c r="W76" s="124"/>
    </row>
    <row r="77">
      <c r="A77" s="94"/>
      <c r="B77" s="138"/>
      <c r="C77" s="120"/>
      <c r="D77" s="120"/>
      <c r="E77" s="120"/>
      <c r="F77" s="113"/>
      <c r="G77" s="114"/>
      <c r="H77" s="115"/>
      <c r="I77" s="113"/>
      <c r="J77" s="113"/>
      <c r="K77" s="115"/>
      <c r="L77" s="115"/>
      <c r="M77" s="114"/>
      <c r="N77" s="114"/>
      <c r="O77" s="114"/>
      <c r="P77" s="114"/>
      <c r="Q77" s="115"/>
      <c r="R77" s="113"/>
      <c r="S77" s="128"/>
      <c r="T77" s="113"/>
      <c r="U77" s="124"/>
      <c r="V77" s="124"/>
      <c r="W77" s="124"/>
    </row>
    <row r="78">
      <c r="A78" s="101"/>
      <c r="B78" s="101"/>
      <c r="C78" s="120"/>
      <c r="D78" s="120"/>
      <c r="E78" s="120"/>
      <c r="F78" s="113"/>
      <c r="G78" s="114"/>
      <c r="H78" s="115"/>
      <c r="I78" s="113"/>
      <c r="J78" s="113"/>
      <c r="K78" s="115"/>
      <c r="L78" s="115"/>
      <c r="M78" s="114"/>
      <c r="N78" s="114"/>
      <c r="O78" s="114"/>
      <c r="P78" s="114"/>
      <c r="Q78" s="115"/>
      <c r="R78" s="113"/>
      <c r="S78" s="128"/>
      <c r="T78" s="113"/>
      <c r="U78" s="124"/>
      <c r="V78" s="124"/>
      <c r="W78" s="124"/>
    </row>
    <row r="79">
      <c r="A79" s="94"/>
      <c r="B79" s="94"/>
      <c r="C79" s="120"/>
      <c r="D79" s="120"/>
      <c r="E79" s="120"/>
      <c r="F79" s="113"/>
      <c r="G79" s="114"/>
      <c r="H79" s="115"/>
      <c r="I79" s="113"/>
      <c r="J79" s="113"/>
      <c r="K79" s="115"/>
      <c r="L79" s="115"/>
      <c r="M79" s="114"/>
      <c r="N79" s="114"/>
      <c r="O79" s="114"/>
      <c r="P79" s="114"/>
      <c r="Q79" s="115"/>
      <c r="R79" s="113"/>
      <c r="S79" s="128"/>
      <c r="T79" s="113"/>
      <c r="U79" s="124"/>
      <c r="V79" s="124"/>
      <c r="W79" s="124"/>
    </row>
    <row r="80">
      <c r="A80" s="94"/>
      <c r="B80" s="94"/>
      <c r="C80" s="120"/>
      <c r="D80" s="120"/>
      <c r="E80" s="120"/>
      <c r="F80" s="113"/>
      <c r="G80" s="114"/>
      <c r="H80" s="115"/>
      <c r="I80" s="113"/>
      <c r="J80" s="113"/>
      <c r="K80" s="115"/>
      <c r="L80" s="115"/>
      <c r="M80" s="114"/>
      <c r="N80" s="114"/>
      <c r="O80" s="114"/>
      <c r="P80" s="114"/>
      <c r="Q80" s="115"/>
      <c r="R80" s="113"/>
      <c r="S80" s="128"/>
      <c r="T80" s="113"/>
      <c r="U80" s="124"/>
      <c r="V80" s="124"/>
      <c r="W80" s="124"/>
    </row>
    <row r="81">
      <c r="A81" s="94"/>
      <c r="B81" s="94"/>
      <c r="C81" s="120"/>
      <c r="D81" s="120"/>
      <c r="E81" s="120"/>
      <c r="F81" s="113"/>
      <c r="G81" s="114"/>
      <c r="H81" s="115"/>
      <c r="I81" s="113"/>
      <c r="J81" s="113"/>
      <c r="K81" s="115"/>
      <c r="L81" s="115"/>
      <c r="M81" s="114"/>
      <c r="N81" s="114"/>
      <c r="O81" s="114"/>
      <c r="P81" s="114"/>
      <c r="Q81" s="115"/>
      <c r="R81" s="113"/>
      <c r="S81" s="128"/>
      <c r="T81" s="113"/>
      <c r="U81" s="124"/>
      <c r="V81" s="124"/>
      <c r="W81" s="124"/>
    </row>
    <row r="82">
      <c r="A82" s="101"/>
      <c r="B82" s="101"/>
      <c r="C82" s="120"/>
      <c r="D82" s="120"/>
      <c r="E82" s="120"/>
      <c r="F82" s="113"/>
      <c r="G82" s="114"/>
      <c r="H82" s="115"/>
      <c r="I82" s="113"/>
      <c r="J82" s="113"/>
      <c r="K82" s="115"/>
      <c r="L82" s="115"/>
      <c r="M82" s="114"/>
      <c r="N82" s="114"/>
      <c r="O82" s="114"/>
      <c r="P82" s="114"/>
      <c r="Q82" s="115"/>
      <c r="R82" s="113"/>
      <c r="S82" s="128"/>
      <c r="T82" s="113"/>
      <c r="U82" s="124"/>
      <c r="V82" s="124"/>
      <c r="W82" s="124"/>
    </row>
    <row r="83">
      <c r="A83" s="101"/>
      <c r="B83" s="101"/>
      <c r="C83" s="120"/>
      <c r="D83" s="120"/>
      <c r="E83" s="120"/>
      <c r="F83" s="113"/>
      <c r="G83" s="114"/>
      <c r="H83" s="115"/>
      <c r="I83" s="113"/>
      <c r="J83" s="113"/>
      <c r="K83" s="115"/>
      <c r="L83" s="115"/>
      <c r="M83" s="114"/>
      <c r="N83" s="114"/>
      <c r="O83" s="114"/>
      <c r="P83" s="114"/>
      <c r="Q83" s="115"/>
      <c r="R83" s="113"/>
      <c r="S83" s="128"/>
      <c r="T83" s="113"/>
      <c r="U83" s="124"/>
      <c r="V83" s="124"/>
      <c r="W83" s="124"/>
    </row>
    <row r="84">
      <c r="A84" s="94"/>
      <c r="B84" s="94"/>
      <c r="C84" s="120"/>
      <c r="D84" s="120"/>
      <c r="E84" s="120"/>
      <c r="F84" s="113"/>
      <c r="G84" s="114"/>
      <c r="H84" s="115"/>
      <c r="I84" s="113"/>
      <c r="J84" s="113"/>
      <c r="K84" s="115"/>
      <c r="L84" s="115"/>
      <c r="M84" s="114"/>
      <c r="N84" s="114"/>
      <c r="O84" s="114"/>
      <c r="P84" s="114"/>
      <c r="Q84" s="115"/>
      <c r="R84" s="113"/>
      <c r="S84" s="128"/>
      <c r="T84" s="113"/>
      <c r="U84" s="124"/>
      <c r="V84" s="124"/>
      <c r="W84" s="124"/>
    </row>
    <row r="85">
      <c r="A85" s="94"/>
      <c r="B85" s="138"/>
      <c r="C85" s="120"/>
      <c r="D85" s="120"/>
      <c r="E85" s="120"/>
      <c r="F85" s="113"/>
      <c r="G85" s="114"/>
      <c r="H85" s="115"/>
      <c r="I85" s="113"/>
      <c r="J85" s="113"/>
      <c r="K85" s="115"/>
      <c r="L85" s="115"/>
      <c r="M85" s="114"/>
      <c r="N85" s="114"/>
      <c r="O85" s="114"/>
      <c r="P85" s="114"/>
      <c r="Q85" s="115"/>
      <c r="R85" s="113"/>
      <c r="S85" s="128"/>
      <c r="T85" s="113"/>
      <c r="U85" s="124"/>
      <c r="V85" s="124"/>
      <c r="W85" s="124"/>
    </row>
    <row r="86">
      <c r="A86" s="101"/>
      <c r="B86" s="101"/>
      <c r="C86" s="120"/>
      <c r="D86" s="120"/>
      <c r="E86" s="120"/>
      <c r="F86" s="113"/>
      <c r="G86" s="114"/>
      <c r="H86" s="115"/>
      <c r="I86" s="113"/>
      <c r="J86" s="113"/>
      <c r="K86" s="115"/>
      <c r="L86" s="115"/>
      <c r="M86" s="114"/>
      <c r="N86" s="114"/>
      <c r="O86" s="114"/>
      <c r="P86" s="114"/>
      <c r="Q86" s="115"/>
      <c r="R86" s="113"/>
      <c r="S86" s="128"/>
      <c r="T86" s="113"/>
      <c r="U86" s="124"/>
      <c r="V86" s="124"/>
      <c r="W86" s="124"/>
    </row>
    <row r="87">
      <c r="A87" s="94"/>
      <c r="B87" s="94"/>
      <c r="C87" s="120"/>
      <c r="D87" s="120"/>
      <c r="E87" s="120"/>
      <c r="F87" s="113"/>
      <c r="G87" s="114"/>
      <c r="H87" s="115"/>
      <c r="I87" s="113"/>
      <c r="J87" s="113"/>
      <c r="K87" s="115"/>
      <c r="L87" s="115"/>
      <c r="M87" s="114"/>
      <c r="N87" s="114"/>
      <c r="O87" s="114"/>
      <c r="P87" s="114"/>
      <c r="Q87" s="115"/>
      <c r="R87" s="113"/>
      <c r="S87" s="128"/>
      <c r="T87" s="113"/>
      <c r="U87" s="124"/>
      <c r="V87" s="124"/>
      <c r="W87" s="124"/>
    </row>
    <row r="88">
      <c r="A88" s="94"/>
      <c r="B88" s="94"/>
      <c r="C88" s="120"/>
      <c r="D88" s="120"/>
      <c r="E88" s="120"/>
      <c r="F88" s="113"/>
      <c r="G88" s="114"/>
      <c r="H88" s="115"/>
      <c r="I88" s="113"/>
      <c r="J88" s="113"/>
      <c r="K88" s="115"/>
      <c r="L88" s="115"/>
      <c r="M88" s="114"/>
      <c r="N88" s="114"/>
      <c r="O88" s="114"/>
      <c r="P88" s="114"/>
      <c r="Q88" s="115"/>
      <c r="R88" s="113"/>
      <c r="S88" s="113"/>
      <c r="T88" s="113"/>
      <c r="U88" s="124"/>
      <c r="V88" s="124"/>
      <c r="W88" s="124"/>
    </row>
    <row r="89">
      <c r="A89" s="94"/>
      <c r="B89" s="94"/>
      <c r="C89" s="120"/>
      <c r="D89" s="120"/>
      <c r="E89" s="120"/>
      <c r="F89" s="113"/>
      <c r="G89" s="114"/>
      <c r="H89" s="115"/>
      <c r="I89" s="113"/>
      <c r="J89" s="113"/>
      <c r="K89" s="115"/>
      <c r="L89" s="115"/>
      <c r="M89" s="114"/>
      <c r="N89" s="114"/>
      <c r="O89" s="114"/>
      <c r="P89" s="114"/>
      <c r="Q89" s="115"/>
      <c r="R89" s="113"/>
      <c r="S89" s="128"/>
      <c r="T89" s="113"/>
      <c r="U89" s="124"/>
      <c r="V89" s="124"/>
      <c r="W89" s="124"/>
    </row>
    <row r="90">
      <c r="A90" s="94"/>
      <c r="B90" s="94"/>
      <c r="C90" s="120"/>
      <c r="D90" s="120"/>
      <c r="E90" s="120"/>
      <c r="F90" s="113"/>
      <c r="G90" s="114"/>
      <c r="H90" s="115"/>
      <c r="I90" s="113"/>
      <c r="J90" s="113"/>
      <c r="K90" s="115"/>
      <c r="L90" s="115"/>
      <c r="M90" s="114"/>
      <c r="N90" s="114"/>
      <c r="O90" s="114"/>
      <c r="P90" s="114"/>
      <c r="Q90" s="115"/>
      <c r="R90" s="113"/>
      <c r="S90" s="128"/>
      <c r="T90" s="113"/>
      <c r="U90" s="124"/>
      <c r="V90" s="124"/>
      <c r="W90" s="124"/>
    </row>
    <row r="91">
      <c r="A91" s="94"/>
      <c r="B91" s="94"/>
      <c r="C91" s="120"/>
      <c r="D91" s="120"/>
      <c r="E91" s="120"/>
      <c r="F91" s="113"/>
      <c r="G91" s="114"/>
      <c r="H91" s="115"/>
      <c r="I91" s="113"/>
      <c r="J91" s="113"/>
      <c r="K91" s="115"/>
      <c r="L91" s="115"/>
      <c r="M91" s="114"/>
      <c r="N91" s="114"/>
      <c r="O91" s="114"/>
      <c r="P91" s="114"/>
      <c r="Q91" s="115"/>
      <c r="R91" s="113"/>
      <c r="S91" s="128"/>
      <c r="T91" s="113"/>
      <c r="U91" s="124"/>
      <c r="V91" s="124"/>
      <c r="W91" s="124"/>
    </row>
    <row r="92">
      <c r="A92" s="94"/>
      <c r="B92" s="94"/>
      <c r="C92" s="120"/>
      <c r="D92" s="120"/>
      <c r="E92" s="120"/>
      <c r="F92" s="113"/>
      <c r="G92" s="114"/>
      <c r="H92" s="115"/>
      <c r="I92" s="113"/>
      <c r="J92" s="113"/>
      <c r="K92" s="115"/>
      <c r="L92" s="115"/>
      <c r="M92" s="114"/>
      <c r="N92" s="114"/>
      <c r="O92" s="114"/>
      <c r="P92" s="114"/>
      <c r="Q92" s="115"/>
      <c r="R92" s="113"/>
      <c r="S92" s="128"/>
      <c r="T92" s="113"/>
      <c r="U92" s="124"/>
      <c r="V92" s="124"/>
      <c r="W92" s="124"/>
    </row>
    <row r="93">
      <c r="A93" s="94"/>
      <c r="B93" s="94"/>
      <c r="C93" s="120"/>
      <c r="D93" s="120"/>
      <c r="E93" s="120"/>
      <c r="F93" s="113"/>
      <c r="G93" s="114"/>
      <c r="H93" s="115"/>
      <c r="I93" s="113"/>
      <c r="J93" s="113"/>
      <c r="K93" s="115"/>
      <c r="L93" s="115"/>
      <c r="M93" s="114"/>
      <c r="N93" s="114"/>
      <c r="O93" s="114"/>
      <c r="P93" s="114"/>
      <c r="Q93" s="115"/>
      <c r="R93" s="113"/>
      <c r="S93" s="128"/>
      <c r="T93" s="113"/>
      <c r="U93" s="124"/>
      <c r="V93" s="124"/>
      <c r="W93" s="124"/>
    </row>
    <row r="94">
      <c r="A94" s="94"/>
      <c r="B94" s="138"/>
      <c r="C94" s="120"/>
      <c r="D94" s="120"/>
      <c r="E94" s="120"/>
      <c r="F94" s="113"/>
      <c r="G94" s="114"/>
      <c r="H94" s="115"/>
      <c r="I94" s="113"/>
      <c r="J94" s="113"/>
      <c r="K94" s="115"/>
      <c r="L94" s="115"/>
      <c r="M94" s="114"/>
      <c r="N94" s="114"/>
      <c r="O94" s="114"/>
      <c r="P94" s="114"/>
      <c r="Q94" s="115"/>
      <c r="R94" s="113"/>
      <c r="S94" s="113"/>
      <c r="T94" s="113"/>
      <c r="U94" s="124"/>
      <c r="V94" s="124"/>
      <c r="W94" s="124"/>
    </row>
    <row r="95">
      <c r="A95" s="94"/>
      <c r="B95" s="138"/>
      <c r="C95" s="120"/>
      <c r="D95" s="120"/>
      <c r="E95" s="120"/>
      <c r="F95" s="113"/>
      <c r="G95" s="114"/>
      <c r="H95" s="115"/>
      <c r="I95" s="113"/>
      <c r="J95" s="113"/>
      <c r="K95" s="115"/>
      <c r="L95" s="115"/>
      <c r="M95" s="114"/>
      <c r="N95" s="114"/>
      <c r="O95" s="114"/>
      <c r="P95" s="114"/>
      <c r="Q95" s="115"/>
      <c r="R95" s="113"/>
      <c r="S95" s="113"/>
      <c r="T95" s="113"/>
      <c r="U95" s="124"/>
      <c r="V95" s="124"/>
      <c r="W95" s="124"/>
    </row>
    <row r="96">
      <c r="A96" s="94"/>
      <c r="B96" s="138"/>
      <c r="C96" s="120"/>
      <c r="D96" s="120"/>
      <c r="E96" s="120"/>
      <c r="F96" s="113"/>
      <c r="G96" s="114"/>
      <c r="H96" s="115"/>
      <c r="I96" s="113"/>
      <c r="J96" s="113"/>
      <c r="K96" s="115"/>
      <c r="L96" s="115"/>
      <c r="M96" s="114"/>
      <c r="N96" s="114"/>
      <c r="O96" s="114"/>
      <c r="P96" s="114"/>
      <c r="Q96" s="115"/>
      <c r="R96" s="113"/>
      <c r="S96" s="113"/>
      <c r="T96" s="113"/>
      <c r="U96" s="124"/>
      <c r="V96" s="124"/>
      <c r="W96" s="124"/>
    </row>
    <row r="97">
      <c r="A97" s="94"/>
      <c r="B97" s="138"/>
      <c r="C97" s="120"/>
      <c r="D97" s="120"/>
      <c r="E97" s="120"/>
      <c r="F97" s="113"/>
      <c r="G97" s="114"/>
      <c r="H97" s="115"/>
      <c r="I97" s="113"/>
      <c r="J97" s="113"/>
      <c r="K97" s="115"/>
      <c r="L97" s="115"/>
      <c r="M97" s="114"/>
      <c r="N97" s="114"/>
      <c r="O97" s="114"/>
      <c r="P97" s="114"/>
      <c r="Q97" s="115"/>
      <c r="R97" s="113"/>
      <c r="S97" s="113"/>
      <c r="T97" s="113"/>
      <c r="U97" s="124"/>
      <c r="V97" s="124"/>
      <c r="W97" s="124"/>
    </row>
    <row r="98">
      <c r="A98" s="94"/>
      <c r="B98" s="138"/>
      <c r="C98" s="120"/>
      <c r="D98" s="120"/>
      <c r="E98" s="120"/>
      <c r="F98" s="113"/>
      <c r="G98" s="114"/>
      <c r="H98" s="115"/>
      <c r="I98" s="113"/>
      <c r="J98" s="113"/>
      <c r="K98" s="115"/>
      <c r="L98" s="115"/>
      <c r="M98" s="114"/>
      <c r="N98" s="114"/>
      <c r="O98" s="114"/>
      <c r="P98" s="114"/>
      <c r="Q98" s="115"/>
      <c r="R98" s="113"/>
      <c r="S98" s="113"/>
      <c r="T98" s="113"/>
      <c r="U98" s="124"/>
      <c r="V98" s="124"/>
      <c r="W98" s="124"/>
    </row>
    <row r="99">
      <c r="A99" s="94"/>
      <c r="B99" s="138"/>
      <c r="C99" s="120"/>
      <c r="D99" s="120"/>
      <c r="E99" s="120"/>
      <c r="F99" s="113"/>
      <c r="G99" s="114"/>
      <c r="H99" s="115"/>
      <c r="I99" s="113"/>
      <c r="J99" s="113"/>
      <c r="K99" s="115"/>
      <c r="L99" s="115"/>
      <c r="M99" s="114"/>
      <c r="N99" s="114"/>
      <c r="O99" s="114"/>
      <c r="P99" s="114"/>
      <c r="Q99" s="115"/>
      <c r="R99" s="113"/>
      <c r="S99" s="113"/>
      <c r="T99" s="113"/>
      <c r="U99" s="124"/>
      <c r="V99" s="124"/>
      <c r="W99" s="124"/>
    </row>
    <row r="100">
      <c r="A100" s="94"/>
      <c r="B100" s="138"/>
      <c r="C100" s="120"/>
      <c r="D100" s="120"/>
      <c r="E100" s="120"/>
      <c r="F100" s="113"/>
      <c r="G100" s="114"/>
      <c r="H100" s="115"/>
      <c r="I100" s="113"/>
      <c r="J100" s="113"/>
      <c r="K100" s="115"/>
      <c r="L100" s="115"/>
      <c r="M100" s="114"/>
      <c r="N100" s="114"/>
      <c r="O100" s="114"/>
      <c r="P100" s="114"/>
      <c r="Q100" s="115"/>
      <c r="R100" s="113"/>
      <c r="S100" s="113"/>
      <c r="T100" s="113"/>
      <c r="U100" s="124"/>
      <c r="V100" s="124"/>
      <c r="W100" s="124"/>
    </row>
    <row r="101">
      <c r="A101" s="94"/>
      <c r="B101" s="138"/>
      <c r="C101" s="120"/>
      <c r="D101" s="120"/>
      <c r="E101" s="120"/>
      <c r="F101" s="113"/>
      <c r="G101" s="114"/>
      <c r="H101" s="140"/>
      <c r="I101" s="113"/>
      <c r="J101" s="113"/>
      <c r="K101" s="114"/>
      <c r="L101" s="114"/>
      <c r="M101" s="114"/>
      <c r="N101" s="114"/>
      <c r="O101" s="114"/>
      <c r="P101" s="114"/>
      <c r="Q101" s="115"/>
      <c r="R101" s="113"/>
      <c r="S101" s="113"/>
      <c r="T101" s="140"/>
      <c r="U101" s="124"/>
      <c r="V101" s="124"/>
      <c r="W101" s="124"/>
    </row>
    <row r="102">
      <c r="A102" s="94"/>
      <c r="B102" s="138"/>
      <c r="C102" s="120"/>
      <c r="D102" s="120"/>
      <c r="E102" s="120"/>
      <c r="F102" s="113"/>
      <c r="G102" s="114"/>
      <c r="H102" s="140"/>
      <c r="I102" s="113"/>
      <c r="J102" s="113"/>
      <c r="K102" s="114"/>
      <c r="L102" s="114"/>
      <c r="M102" s="114"/>
      <c r="N102" s="114"/>
      <c r="O102" s="114"/>
      <c r="P102" s="114"/>
      <c r="Q102" s="115"/>
      <c r="R102" s="113"/>
      <c r="S102" s="113"/>
      <c r="T102" s="140"/>
      <c r="U102" s="124"/>
      <c r="V102" s="124"/>
      <c r="W102" s="124"/>
    </row>
    <row r="103">
      <c r="A103" s="94"/>
      <c r="B103" s="138"/>
      <c r="C103" s="120"/>
      <c r="D103" s="120"/>
      <c r="E103" s="120"/>
      <c r="F103" s="113"/>
      <c r="G103" s="114"/>
      <c r="H103" s="140"/>
      <c r="I103" s="113"/>
      <c r="J103" s="113"/>
      <c r="K103" s="114"/>
      <c r="L103" s="114"/>
      <c r="M103" s="114"/>
      <c r="N103" s="114"/>
      <c r="O103" s="114"/>
      <c r="P103" s="114"/>
      <c r="Q103" s="115"/>
      <c r="R103" s="113"/>
      <c r="S103" s="113"/>
      <c r="T103" s="140"/>
      <c r="U103" s="124"/>
      <c r="V103" s="124"/>
      <c r="W103" s="124"/>
    </row>
    <row r="104">
      <c r="A104" s="94"/>
      <c r="B104" s="138"/>
      <c r="C104" s="120"/>
      <c r="D104" s="120"/>
      <c r="E104" s="120"/>
      <c r="F104" s="113"/>
      <c r="G104" s="114"/>
      <c r="H104" s="140"/>
      <c r="I104" s="113"/>
      <c r="J104" s="113"/>
      <c r="K104" s="114"/>
      <c r="L104" s="114"/>
      <c r="M104" s="114"/>
      <c r="N104" s="114"/>
      <c r="O104" s="114"/>
      <c r="P104" s="114"/>
      <c r="Q104" s="115"/>
      <c r="R104" s="113"/>
      <c r="S104" s="113"/>
      <c r="T104" s="140"/>
      <c r="U104" s="124"/>
      <c r="V104" s="124"/>
      <c r="W104" s="124"/>
    </row>
    <row r="105">
      <c r="A105" s="94"/>
      <c r="B105" s="138"/>
      <c r="C105" s="120"/>
      <c r="D105" s="120"/>
      <c r="E105" s="120"/>
      <c r="F105" s="113"/>
      <c r="G105" s="114"/>
      <c r="H105" s="140"/>
      <c r="I105" s="113"/>
      <c r="J105" s="113"/>
      <c r="K105" s="114"/>
      <c r="L105" s="114"/>
      <c r="M105" s="114"/>
      <c r="N105" s="114"/>
      <c r="O105" s="114"/>
      <c r="P105" s="114"/>
      <c r="Q105" s="115"/>
      <c r="R105" s="113"/>
      <c r="S105" s="113"/>
      <c r="T105" s="140"/>
      <c r="U105" s="124"/>
      <c r="V105" s="124"/>
      <c r="W105" s="124"/>
    </row>
    <row r="106">
      <c r="A106" s="94"/>
      <c r="B106" s="138"/>
      <c r="C106" s="120"/>
      <c r="D106" s="120"/>
      <c r="E106" s="120"/>
      <c r="F106" s="113"/>
      <c r="G106" s="114"/>
      <c r="H106" s="140"/>
      <c r="I106" s="113"/>
      <c r="J106" s="113"/>
      <c r="K106" s="114"/>
      <c r="L106" s="114"/>
      <c r="M106" s="114"/>
      <c r="N106" s="114"/>
      <c r="O106" s="114"/>
      <c r="P106" s="114"/>
      <c r="Q106" s="115"/>
      <c r="R106" s="113"/>
      <c r="S106" s="113"/>
      <c r="T106" s="140"/>
      <c r="U106" s="124"/>
      <c r="V106" s="124"/>
      <c r="W106" s="124"/>
    </row>
    <row r="107">
      <c r="A107" s="94"/>
      <c r="B107" s="138"/>
      <c r="C107" s="120"/>
      <c r="D107" s="120"/>
      <c r="E107" s="120"/>
      <c r="F107" s="113"/>
      <c r="G107" s="114"/>
      <c r="H107" s="140"/>
      <c r="I107" s="113"/>
      <c r="J107" s="113"/>
      <c r="K107" s="114"/>
      <c r="L107" s="114"/>
      <c r="M107" s="114"/>
      <c r="N107" s="114"/>
      <c r="O107" s="114"/>
      <c r="P107" s="114"/>
      <c r="Q107" s="115"/>
      <c r="R107" s="113"/>
      <c r="S107" s="113"/>
      <c r="T107" s="140"/>
      <c r="U107" s="124"/>
      <c r="V107" s="124"/>
      <c r="W107" s="124"/>
    </row>
    <row r="108">
      <c r="A108" s="94"/>
      <c r="B108" s="138"/>
      <c r="C108" s="120"/>
      <c r="D108" s="120"/>
      <c r="E108" s="120"/>
      <c r="F108" s="113"/>
      <c r="G108" s="114"/>
      <c r="H108" s="140"/>
      <c r="I108" s="113"/>
      <c r="J108" s="113"/>
      <c r="K108" s="114"/>
      <c r="L108" s="114"/>
      <c r="M108" s="114"/>
      <c r="N108" s="114"/>
      <c r="O108" s="114"/>
      <c r="P108" s="114"/>
      <c r="Q108" s="115"/>
      <c r="R108" s="113"/>
      <c r="S108" s="113"/>
      <c r="T108" s="140"/>
      <c r="U108" s="124"/>
      <c r="V108" s="124"/>
      <c r="W108" s="124"/>
    </row>
    <row r="109">
      <c r="A109" s="94"/>
      <c r="B109" s="94"/>
      <c r="C109" s="120"/>
      <c r="D109" s="120"/>
      <c r="E109" s="120"/>
      <c r="F109" s="113"/>
      <c r="G109" s="114"/>
      <c r="H109" s="115"/>
      <c r="I109" s="113"/>
      <c r="J109" s="113"/>
      <c r="K109" s="115"/>
      <c r="L109" s="115"/>
      <c r="M109" s="114"/>
      <c r="N109" s="114"/>
      <c r="O109" s="114"/>
      <c r="P109" s="114"/>
      <c r="Q109" s="115"/>
      <c r="R109" s="113"/>
      <c r="S109" s="113"/>
      <c r="T109" s="113"/>
      <c r="U109" s="124"/>
      <c r="V109" s="124"/>
      <c r="W109" s="124"/>
    </row>
    <row r="110">
      <c r="A110" s="94"/>
      <c r="B110" s="138"/>
      <c r="C110" s="120"/>
      <c r="D110" s="120"/>
      <c r="E110" s="120"/>
      <c r="F110" s="113"/>
      <c r="G110" s="114"/>
      <c r="H110" s="140"/>
      <c r="I110" s="113"/>
      <c r="J110" s="113"/>
      <c r="K110" s="114"/>
      <c r="L110" s="114"/>
      <c r="M110" s="114"/>
      <c r="N110" s="114"/>
      <c r="O110" s="114"/>
      <c r="P110" s="114"/>
      <c r="Q110" s="115"/>
      <c r="R110" s="113"/>
      <c r="S110" s="113"/>
      <c r="T110" s="140"/>
      <c r="U110" s="124"/>
      <c r="V110" s="124"/>
      <c r="W110" s="124"/>
    </row>
    <row r="111">
      <c r="A111" s="94"/>
      <c r="B111" s="138"/>
      <c r="C111" s="120"/>
      <c r="D111" s="120"/>
      <c r="E111" s="120"/>
      <c r="F111" s="113"/>
      <c r="G111" s="114"/>
      <c r="H111" s="140"/>
      <c r="I111" s="113"/>
      <c r="J111" s="113"/>
      <c r="K111" s="114"/>
      <c r="L111" s="114"/>
      <c r="M111" s="114"/>
      <c r="N111" s="114"/>
      <c r="O111" s="114"/>
      <c r="P111" s="114"/>
      <c r="Q111" s="115"/>
      <c r="R111" s="113"/>
      <c r="S111" s="113"/>
      <c r="T111" s="140"/>
      <c r="U111" s="124"/>
      <c r="V111" s="124"/>
      <c r="W111" s="124"/>
    </row>
    <row r="112">
      <c r="A112" s="94"/>
      <c r="B112" s="94"/>
      <c r="C112" s="120"/>
      <c r="D112" s="120"/>
      <c r="E112" s="120"/>
      <c r="F112" s="113"/>
      <c r="G112" s="114"/>
      <c r="H112" s="115"/>
      <c r="I112" s="113"/>
      <c r="J112" s="113"/>
      <c r="K112" s="115"/>
      <c r="L112" s="115"/>
      <c r="M112" s="114"/>
      <c r="N112" s="114"/>
      <c r="O112" s="114"/>
      <c r="P112" s="114"/>
      <c r="Q112" s="115"/>
      <c r="R112" s="113"/>
      <c r="S112" s="128"/>
      <c r="T112" s="113"/>
      <c r="U112" s="124"/>
      <c r="V112" s="124"/>
      <c r="W112" s="124"/>
    </row>
    <row r="113">
      <c r="A113" s="94"/>
      <c r="B113" s="94"/>
      <c r="C113" s="120"/>
      <c r="D113" s="120"/>
      <c r="E113" s="120"/>
      <c r="F113" s="113"/>
      <c r="G113" s="114"/>
      <c r="H113" s="115"/>
      <c r="I113" s="113"/>
      <c r="J113" s="113"/>
      <c r="K113" s="115"/>
      <c r="L113" s="115"/>
      <c r="M113" s="114"/>
      <c r="N113" s="114"/>
      <c r="O113" s="114"/>
      <c r="P113" s="114"/>
      <c r="Q113" s="115"/>
      <c r="R113" s="113"/>
      <c r="S113" s="128"/>
      <c r="T113" s="113"/>
      <c r="U113" s="124"/>
      <c r="V113" s="124"/>
      <c r="W113" s="124"/>
    </row>
    <row r="114">
      <c r="A114" s="94"/>
      <c r="B114" s="138"/>
      <c r="C114" s="120"/>
      <c r="D114" s="120"/>
      <c r="E114" s="120"/>
      <c r="F114" s="113"/>
      <c r="G114" s="114"/>
      <c r="H114" s="115"/>
      <c r="I114" s="113"/>
      <c r="J114" s="113"/>
      <c r="K114" s="115"/>
      <c r="L114" s="115"/>
      <c r="M114" s="114"/>
      <c r="N114" s="114"/>
      <c r="O114" s="114"/>
      <c r="P114" s="114"/>
      <c r="Q114" s="115"/>
      <c r="R114" s="113"/>
      <c r="S114" s="128"/>
      <c r="T114" s="113"/>
      <c r="U114" s="124"/>
      <c r="V114" s="124"/>
      <c r="W114" s="124"/>
    </row>
    <row r="115">
      <c r="A115" s="94"/>
      <c r="B115" s="138"/>
      <c r="C115" s="120"/>
      <c r="D115" s="120"/>
      <c r="E115" s="120"/>
      <c r="F115" s="113"/>
      <c r="G115" s="114"/>
      <c r="H115" s="115"/>
      <c r="I115" s="113"/>
      <c r="J115" s="113"/>
      <c r="K115" s="115"/>
      <c r="L115" s="115"/>
      <c r="M115" s="114"/>
      <c r="N115" s="114"/>
      <c r="O115" s="114"/>
      <c r="P115" s="114"/>
      <c r="Q115" s="115"/>
      <c r="R115" s="113"/>
      <c r="S115" s="128"/>
      <c r="T115" s="113"/>
      <c r="U115" s="124"/>
      <c r="V115" s="124"/>
      <c r="W115" s="124"/>
    </row>
    <row r="116">
      <c r="A116" s="94"/>
      <c r="B116" s="94"/>
      <c r="C116" s="120"/>
      <c r="D116" s="120"/>
      <c r="E116" s="120"/>
      <c r="F116" s="113"/>
      <c r="G116" s="114"/>
      <c r="H116" s="115"/>
      <c r="I116" s="113"/>
      <c r="J116" s="113"/>
      <c r="K116" s="115"/>
      <c r="L116" s="115"/>
      <c r="M116" s="114"/>
      <c r="N116" s="114"/>
      <c r="O116" s="114"/>
      <c r="P116" s="114"/>
      <c r="Q116" s="115"/>
      <c r="R116" s="113"/>
      <c r="S116" s="128"/>
      <c r="T116" s="113"/>
      <c r="U116" s="124"/>
      <c r="V116" s="124"/>
      <c r="W116" s="124"/>
    </row>
    <row r="117">
      <c r="A117" s="94"/>
      <c r="B117" s="138"/>
      <c r="C117" s="120"/>
      <c r="D117" s="120"/>
      <c r="E117" s="120"/>
      <c r="F117" s="113"/>
      <c r="G117" s="114"/>
      <c r="H117" s="115"/>
      <c r="I117" s="113"/>
      <c r="J117" s="113"/>
      <c r="K117" s="115"/>
      <c r="L117" s="115"/>
      <c r="M117" s="114"/>
      <c r="N117" s="114"/>
      <c r="O117" s="114"/>
      <c r="P117" s="114"/>
      <c r="Q117" s="115"/>
      <c r="R117" s="113"/>
      <c r="S117" s="128"/>
      <c r="T117" s="113"/>
      <c r="U117" s="124"/>
      <c r="V117" s="124"/>
      <c r="W117" s="124"/>
    </row>
    <row r="118">
      <c r="A118" s="101"/>
      <c r="B118" s="101"/>
      <c r="C118" s="120"/>
      <c r="D118" s="120"/>
      <c r="E118" s="120"/>
      <c r="F118" s="113"/>
      <c r="G118" s="114"/>
      <c r="H118" s="115"/>
      <c r="I118" s="113"/>
      <c r="J118" s="113"/>
      <c r="K118" s="115"/>
      <c r="L118" s="115"/>
      <c r="M118" s="114"/>
      <c r="N118" s="114"/>
      <c r="O118" s="114"/>
      <c r="P118" s="114"/>
      <c r="Q118" s="115"/>
      <c r="R118" s="113"/>
      <c r="S118" s="128"/>
      <c r="T118" s="113"/>
      <c r="U118" s="124"/>
      <c r="V118" s="124"/>
      <c r="W118" s="124"/>
    </row>
    <row r="119">
      <c r="A119" s="94"/>
      <c r="B119" s="138"/>
      <c r="C119" s="120"/>
      <c r="D119" s="120"/>
      <c r="E119" s="120"/>
      <c r="F119" s="113"/>
      <c r="G119" s="114"/>
      <c r="H119" s="115"/>
      <c r="I119" s="113"/>
      <c r="J119" s="113"/>
      <c r="K119" s="115"/>
      <c r="L119" s="115"/>
      <c r="M119" s="114"/>
      <c r="N119" s="114"/>
      <c r="O119" s="114"/>
      <c r="P119" s="114"/>
      <c r="Q119" s="115"/>
      <c r="R119" s="113"/>
      <c r="S119" s="128"/>
      <c r="T119" s="113"/>
      <c r="U119" s="124"/>
      <c r="V119" s="124"/>
      <c r="W119" s="124"/>
    </row>
    <row r="120">
      <c r="A120" s="101"/>
      <c r="B120" s="101"/>
      <c r="C120" s="120"/>
      <c r="D120" s="120"/>
      <c r="E120" s="120"/>
      <c r="F120" s="113"/>
      <c r="G120" s="114"/>
      <c r="H120" s="115"/>
      <c r="I120" s="113"/>
      <c r="J120" s="113"/>
      <c r="K120" s="115"/>
      <c r="L120" s="115"/>
      <c r="M120" s="114"/>
      <c r="N120" s="114"/>
      <c r="O120" s="114"/>
      <c r="P120" s="114"/>
      <c r="Q120" s="115"/>
      <c r="R120" s="113"/>
      <c r="S120" s="128"/>
      <c r="T120" s="113"/>
      <c r="U120" s="124"/>
      <c r="V120" s="124"/>
      <c r="W120" s="124"/>
    </row>
    <row r="121">
      <c r="A121" s="94"/>
      <c r="B121" s="94"/>
      <c r="C121" s="120"/>
      <c r="D121" s="120"/>
      <c r="E121" s="120"/>
      <c r="F121" s="113"/>
      <c r="G121" s="114"/>
      <c r="H121" s="115"/>
      <c r="I121" s="113"/>
      <c r="J121" s="113"/>
      <c r="K121" s="115"/>
      <c r="L121" s="115"/>
      <c r="M121" s="114"/>
      <c r="N121" s="114"/>
      <c r="O121" s="114"/>
      <c r="P121" s="114"/>
      <c r="Q121" s="115"/>
      <c r="R121" s="113"/>
      <c r="S121" s="128"/>
      <c r="T121" s="113"/>
      <c r="U121" s="124"/>
      <c r="V121" s="124"/>
      <c r="W121" s="124"/>
    </row>
    <row r="122">
      <c r="A122" s="94"/>
      <c r="B122" s="138"/>
      <c r="C122" s="120"/>
      <c r="D122" s="120"/>
      <c r="E122" s="120"/>
      <c r="F122" s="113"/>
      <c r="G122" s="114"/>
      <c r="H122" s="115"/>
      <c r="I122" s="113"/>
      <c r="J122" s="113"/>
      <c r="K122" s="115"/>
      <c r="L122" s="115"/>
      <c r="M122" s="114"/>
      <c r="N122" s="114"/>
      <c r="O122" s="114"/>
      <c r="P122" s="114"/>
      <c r="Q122" s="115"/>
      <c r="R122" s="113"/>
      <c r="S122" s="128"/>
      <c r="T122" s="113"/>
      <c r="U122" s="124"/>
      <c r="V122" s="124"/>
      <c r="W122" s="124"/>
    </row>
    <row r="123">
      <c r="A123" s="94"/>
      <c r="B123" s="94"/>
      <c r="C123" s="120"/>
      <c r="D123" s="120"/>
      <c r="E123" s="120"/>
      <c r="F123" s="113"/>
      <c r="G123" s="114"/>
      <c r="H123" s="115"/>
      <c r="I123" s="113"/>
      <c r="J123" s="113"/>
      <c r="K123" s="115"/>
      <c r="L123" s="115"/>
      <c r="M123" s="114"/>
      <c r="N123" s="114"/>
      <c r="O123" s="114"/>
      <c r="P123" s="114"/>
      <c r="Q123" s="115"/>
      <c r="R123" s="113"/>
      <c r="S123" s="128"/>
      <c r="T123" s="113"/>
      <c r="U123" s="124"/>
      <c r="V123" s="124"/>
      <c r="W123" s="124"/>
    </row>
    <row r="124">
      <c r="A124" s="94"/>
      <c r="B124" s="94"/>
      <c r="C124" s="120"/>
      <c r="D124" s="120"/>
      <c r="E124" s="120"/>
      <c r="F124" s="113"/>
      <c r="G124" s="114"/>
      <c r="H124" s="115"/>
      <c r="I124" s="113"/>
      <c r="J124" s="113"/>
      <c r="K124" s="115"/>
      <c r="L124" s="115"/>
      <c r="M124" s="114"/>
      <c r="N124" s="114"/>
      <c r="O124" s="114"/>
      <c r="P124" s="114"/>
      <c r="Q124" s="115"/>
      <c r="R124" s="113"/>
      <c r="S124" s="128"/>
      <c r="T124" s="113"/>
      <c r="U124" s="124"/>
      <c r="V124" s="124"/>
      <c r="W124" s="124"/>
    </row>
    <row r="125">
      <c r="A125" s="94"/>
      <c r="B125" s="94"/>
      <c r="C125" s="120"/>
      <c r="D125" s="120"/>
      <c r="E125" s="120"/>
      <c r="F125" s="113"/>
      <c r="G125" s="114"/>
      <c r="H125" s="115"/>
      <c r="I125" s="113"/>
      <c r="J125" s="113"/>
      <c r="K125" s="115"/>
      <c r="L125" s="115"/>
      <c r="M125" s="114"/>
      <c r="N125" s="114"/>
      <c r="O125" s="114"/>
      <c r="P125" s="114"/>
      <c r="Q125" s="115"/>
      <c r="R125" s="113"/>
      <c r="S125" s="128"/>
      <c r="T125" s="113"/>
      <c r="U125" s="124"/>
      <c r="V125" s="124"/>
      <c r="W125" s="124"/>
    </row>
    <row r="126">
      <c r="A126" s="94"/>
      <c r="B126" s="94"/>
      <c r="C126" s="120"/>
      <c r="D126" s="120"/>
      <c r="E126" s="120"/>
      <c r="F126" s="113"/>
      <c r="G126" s="114"/>
      <c r="H126" s="115"/>
      <c r="I126" s="113"/>
      <c r="J126" s="113"/>
      <c r="K126" s="115"/>
      <c r="L126" s="115"/>
      <c r="M126" s="114"/>
      <c r="N126" s="114"/>
      <c r="O126" s="114"/>
      <c r="P126" s="114"/>
      <c r="Q126" s="115"/>
      <c r="R126" s="113"/>
      <c r="S126" s="128"/>
      <c r="T126" s="113"/>
      <c r="U126" s="124"/>
      <c r="V126" s="124"/>
      <c r="W126" s="124"/>
    </row>
    <row r="127">
      <c r="A127" s="94"/>
      <c r="B127" s="138"/>
      <c r="C127" s="120"/>
      <c r="D127" s="120"/>
      <c r="E127" s="120"/>
      <c r="F127" s="143"/>
      <c r="G127" s="144"/>
      <c r="H127" s="145"/>
      <c r="I127" s="113"/>
      <c r="J127" s="113"/>
      <c r="K127" s="114"/>
      <c r="L127" s="114"/>
      <c r="M127" s="114"/>
      <c r="N127" s="114"/>
      <c r="O127" s="114"/>
      <c r="P127" s="114"/>
      <c r="Q127" s="115"/>
      <c r="R127" s="113"/>
      <c r="S127" s="113"/>
      <c r="T127" s="140"/>
      <c r="U127" s="124"/>
      <c r="V127" s="124"/>
      <c r="W127" s="124"/>
    </row>
    <row r="128">
      <c r="A128" s="94"/>
      <c r="B128" s="138"/>
      <c r="C128" s="120"/>
      <c r="D128" s="120"/>
      <c r="E128" s="120"/>
      <c r="F128" s="113"/>
      <c r="G128" s="114"/>
      <c r="H128" s="140"/>
      <c r="I128" s="113"/>
      <c r="J128" s="113"/>
      <c r="K128" s="114"/>
      <c r="L128" s="114"/>
      <c r="M128" s="114"/>
      <c r="N128" s="114"/>
      <c r="O128" s="114"/>
      <c r="P128" s="114"/>
      <c r="Q128" s="115"/>
      <c r="R128" s="113"/>
      <c r="S128" s="113"/>
      <c r="T128" s="140"/>
      <c r="U128" s="124"/>
      <c r="V128" s="124"/>
      <c r="W128" s="124"/>
    </row>
    <row r="129">
      <c r="A129" s="94"/>
      <c r="B129" s="138"/>
      <c r="C129" s="120"/>
      <c r="D129" s="120"/>
      <c r="E129" s="120"/>
      <c r="F129" s="113"/>
      <c r="G129" s="114"/>
      <c r="H129" s="140"/>
      <c r="I129" s="113"/>
      <c r="J129" s="113"/>
      <c r="K129" s="114"/>
      <c r="L129" s="114"/>
      <c r="M129" s="114"/>
      <c r="N129" s="114"/>
      <c r="O129" s="114"/>
      <c r="P129" s="114"/>
      <c r="Q129" s="115"/>
      <c r="R129" s="113"/>
      <c r="S129" s="113"/>
      <c r="T129" s="140"/>
      <c r="U129" s="124"/>
      <c r="V129" s="124"/>
      <c r="W129" s="124"/>
    </row>
    <row r="130">
      <c r="A130" s="94"/>
      <c r="B130" s="138"/>
      <c r="C130" s="120"/>
      <c r="D130" s="120"/>
      <c r="E130" s="120"/>
      <c r="F130" s="113"/>
      <c r="G130" s="114"/>
      <c r="H130" s="140"/>
      <c r="I130" s="113"/>
      <c r="J130" s="113"/>
      <c r="K130" s="114"/>
      <c r="L130" s="114"/>
      <c r="M130" s="114"/>
      <c r="N130" s="114"/>
      <c r="O130" s="114"/>
      <c r="P130" s="114"/>
      <c r="Q130" s="115"/>
      <c r="R130" s="113"/>
      <c r="S130" s="113"/>
      <c r="T130" s="140"/>
      <c r="U130" s="124"/>
      <c r="V130" s="124"/>
      <c r="W130" s="124"/>
    </row>
    <row r="131">
      <c r="A131" s="94"/>
      <c r="B131" s="138"/>
      <c r="C131" s="120"/>
      <c r="D131" s="120"/>
      <c r="E131" s="120"/>
      <c r="F131" s="113"/>
      <c r="G131" s="114"/>
      <c r="H131" s="140"/>
      <c r="I131" s="113"/>
      <c r="J131" s="113"/>
      <c r="K131" s="114"/>
      <c r="L131" s="114"/>
      <c r="M131" s="114"/>
      <c r="N131" s="114"/>
      <c r="O131" s="114"/>
      <c r="P131" s="114"/>
      <c r="Q131" s="115"/>
      <c r="R131" s="113"/>
      <c r="S131" s="113"/>
      <c r="T131" s="140"/>
      <c r="U131" s="124"/>
      <c r="V131" s="124"/>
      <c r="W131" s="124"/>
    </row>
    <row r="132">
      <c r="A132" s="94"/>
      <c r="B132" s="138"/>
      <c r="C132" s="120"/>
      <c r="D132" s="120"/>
      <c r="E132" s="120"/>
      <c r="F132" s="113"/>
      <c r="G132" s="114"/>
      <c r="H132" s="140"/>
      <c r="I132" s="113"/>
      <c r="J132" s="113"/>
      <c r="K132" s="114"/>
      <c r="L132" s="114"/>
      <c r="M132" s="114"/>
      <c r="N132" s="114"/>
      <c r="O132" s="114"/>
      <c r="P132" s="114"/>
      <c r="Q132" s="115"/>
      <c r="R132" s="113"/>
      <c r="S132" s="113"/>
      <c r="T132" s="140"/>
      <c r="U132" s="124"/>
      <c r="V132" s="124"/>
      <c r="W132" s="124"/>
    </row>
    <row r="133">
      <c r="A133" s="94"/>
      <c r="B133" s="138"/>
      <c r="C133" s="120"/>
      <c r="D133" s="120"/>
      <c r="E133" s="120"/>
      <c r="F133" s="113"/>
      <c r="G133" s="114"/>
      <c r="H133" s="140"/>
      <c r="I133" s="113"/>
      <c r="J133" s="113"/>
      <c r="K133" s="114"/>
      <c r="L133" s="114"/>
      <c r="M133" s="114"/>
      <c r="N133" s="114"/>
      <c r="O133" s="114"/>
      <c r="P133" s="114"/>
      <c r="Q133" s="115"/>
      <c r="R133" s="113"/>
      <c r="S133" s="113"/>
      <c r="T133" s="140"/>
      <c r="U133" s="124"/>
      <c r="V133" s="124"/>
      <c r="W133" s="124"/>
    </row>
    <row r="134">
      <c r="A134" s="94"/>
      <c r="B134" s="138"/>
      <c r="C134" s="120"/>
      <c r="D134" s="120"/>
      <c r="E134" s="120"/>
      <c r="F134" s="113"/>
      <c r="G134" s="114"/>
      <c r="H134" s="140"/>
      <c r="I134" s="113"/>
      <c r="J134" s="113"/>
      <c r="K134" s="114"/>
      <c r="L134" s="114"/>
      <c r="M134" s="114"/>
      <c r="N134" s="114"/>
      <c r="O134" s="114"/>
      <c r="P134" s="114"/>
      <c r="Q134" s="115"/>
      <c r="R134" s="113"/>
      <c r="S134" s="113"/>
      <c r="T134" s="140"/>
      <c r="U134" s="124"/>
      <c r="V134" s="124"/>
      <c r="W134" s="124"/>
    </row>
    <row r="135">
      <c r="A135" s="94"/>
      <c r="B135" s="138"/>
      <c r="C135" s="120"/>
      <c r="D135" s="120"/>
      <c r="E135" s="120"/>
      <c r="F135" s="113"/>
      <c r="G135" s="114"/>
      <c r="H135" s="140"/>
      <c r="I135" s="113"/>
      <c r="J135" s="113"/>
      <c r="K135" s="114"/>
      <c r="L135" s="114"/>
      <c r="M135" s="114"/>
      <c r="N135" s="114"/>
      <c r="O135" s="114"/>
      <c r="P135" s="114"/>
      <c r="Q135" s="115"/>
      <c r="R135" s="113"/>
      <c r="S135" s="113"/>
      <c r="T135" s="140"/>
      <c r="U135" s="124"/>
      <c r="V135" s="124"/>
      <c r="W135" s="124"/>
    </row>
    <row r="136">
      <c r="A136" s="94"/>
      <c r="B136" s="94"/>
      <c r="C136" s="120"/>
      <c r="D136" s="120"/>
      <c r="E136" s="120"/>
      <c r="F136" s="113"/>
      <c r="G136" s="114"/>
      <c r="H136" s="115"/>
      <c r="I136" s="113"/>
      <c r="J136" s="113"/>
      <c r="K136" s="115"/>
      <c r="L136" s="115"/>
      <c r="M136" s="114"/>
      <c r="N136" s="114"/>
      <c r="O136" s="114"/>
      <c r="P136" s="114"/>
      <c r="Q136" s="115"/>
      <c r="R136" s="113"/>
      <c r="S136" s="128"/>
      <c r="T136" s="113"/>
      <c r="U136" s="124"/>
      <c r="V136" s="124"/>
      <c r="W136" s="124"/>
    </row>
    <row r="137">
      <c r="A137" s="94"/>
      <c r="B137" s="94"/>
      <c r="C137" s="120"/>
      <c r="D137" s="120"/>
      <c r="E137" s="120"/>
      <c r="F137" s="113"/>
      <c r="G137" s="114"/>
      <c r="H137" s="115"/>
      <c r="I137" s="113"/>
      <c r="J137" s="113"/>
      <c r="K137" s="115"/>
      <c r="L137" s="115"/>
      <c r="M137" s="114"/>
      <c r="N137" s="114"/>
      <c r="O137" s="114"/>
      <c r="P137" s="114"/>
      <c r="Q137" s="115"/>
      <c r="R137" s="113"/>
      <c r="S137" s="128"/>
      <c r="T137" s="113"/>
      <c r="U137" s="124"/>
      <c r="V137" s="124"/>
      <c r="W137" s="124"/>
    </row>
    <row r="138">
      <c r="A138" s="101"/>
      <c r="B138" s="101"/>
      <c r="C138" s="120"/>
      <c r="D138" s="120"/>
      <c r="E138" s="120"/>
      <c r="F138" s="113"/>
      <c r="G138" s="114"/>
      <c r="H138" s="115"/>
      <c r="I138" s="113"/>
      <c r="J138" s="113"/>
      <c r="K138" s="115"/>
      <c r="L138" s="115"/>
      <c r="M138" s="114"/>
      <c r="N138" s="114"/>
      <c r="O138" s="114"/>
      <c r="P138" s="114"/>
      <c r="Q138" s="115"/>
      <c r="R138" s="113"/>
      <c r="S138" s="128"/>
      <c r="T138" s="113"/>
      <c r="U138" s="124"/>
      <c r="V138" s="124"/>
      <c r="W138" s="124"/>
    </row>
    <row r="139">
      <c r="A139" s="101"/>
      <c r="B139" s="101"/>
      <c r="C139" s="120"/>
      <c r="D139" s="120"/>
      <c r="E139" s="120"/>
      <c r="F139" s="113"/>
      <c r="G139" s="114"/>
      <c r="H139" s="115"/>
      <c r="I139" s="113"/>
      <c r="J139" s="113"/>
      <c r="K139" s="115"/>
      <c r="L139" s="115"/>
      <c r="M139" s="114"/>
      <c r="N139" s="114"/>
      <c r="O139" s="114"/>
      <c r="P139" s="114"/>
      <c r="Q139" s="115"/>
      <c r="R139" s="113"/>
      <c r="S139" s="128"/>
      <c r="T139" s="113"/>
      <c r="U139" s="124"/>
      <c r="V139" s="124"/>
      <c r="W139" s="124"/>
    </row>
    <row r="140">
      <c r="A140" s="94"/>
      <c r="B140" s="94"/>
      <c r="C140" s="120"/>
      <c r="D140" s="120"/>
      <c r="E140" s="120"/>
      <c r="F140" s="113"/>
      <c r="G140" s="114"/>
      <c r="H140" s="115"/>
      <c r="I140" s="113"/>
      <c r="J140" s="113"/>
      <c r="K140" s="115"/>
      <c r="L140" s="115"/>
      <c r="M140" s="114"/>
      <c r="N140" s="114"/>
      <c r="O140" s="114"/>
      <c r="P140" s="114"/>
      <c r="Q140" s="115"/>
      <c r="R140" s="113"/>
      <c r="S140" s="128"/>
      <c r="T140" s="113"/>
      <c r="U140" s="124"/>
      <c r="V140" s="124"/>
      <c r="W140" s="124"/>
    </row>
    <row r="141">
      <c r="A141" s="94"/>
      <c r="B141" s="94"/>
      <c r="C141" s="120"/>
      <c r="D141" s="120"/>
      <c r="E141" s="120"/>
      <c r="F141" s="113"/>
      <c r="G141" s="114"/>
      <c r="H141" s="115"/>
      <c r="I141" s="113"/>
      <c r="J141" s="113"/>
      <c r="K141" s="115"/>
      <c r="L141" s="115"/>
      <c r="M141" s="114"/>
      <c r="N141" s="114"/>
      <c r="O141" s="114"/>
      <c r="P141" s="114"/>
      <c r="Q141" s="115"/>
      <c r="R141" s="113"/>
      <c r="S141" s="128"/>
      <c r="T141" s="113"/>
      <c r="U141" s="124"/>
      <c r="V141" s="124"/>
      <c r="W141" s="124"/>
    </row>
    <row r="142">
      <c r="A142" s="101"/>
      <c r="B142" s="101"/>
      <c r="C142" s="120"/>
      <c r="D142" s="120"/>
      <c r="E142" s="120"/>
      <c r="F142" s="113"/>
      <c r="G142" s="114"/>
      <c r="H142" s="115"/>
      <c r="I142" s="113"/>
      <c r="J142" s="113"/>
      <c r="K142" s="115"/>
      <c r="L142" s="115"/>
      <c r="M142" s="114"/>
      <c r="N142" s="114"/>
      <c r="O142" s="114"/>
      <c r="P142" s="114"/>
      <c r="Q142" s="115"/>
      <c r="R142" s="113"/>
      <c r="S142" s="128"/>
      <c r="T142" s="113"/>
      <c r="U142" s="124"/>
      <c r="V142" s="124"/>
      <c r="W142" s="124"/>
    </row>
    <row r="143">
      <c r="A143" s="94"/>
      <c r="B143" s="94"/>
      <c r="C143" s="120"/>
      <c r="D143" s="120"/>
      <c r="E143" s="120"/>
      <c r="F143" s="113"/>
      <c r="G143" s="114"/>
      <c r="H143" s="115"/>
      <c r="I143" s="113"/>
      <c r="J143" s="113"/>
      <c r="K143" s="115"/>
      <c r="L143" s="115"/>
      <c r="M143" s="114"/>
      <c r="N143" s="114"/>
      <c r="O143" s="114"/>
      <c r="P143" s="114"/>
      <c r="Q143" s="115"/>
      <c r="R143" s="113"/>
      <c r="S143" s="128"/>
      <c r="T143" s="113"/>
      <c r="U143" s="124"/>
      <c r="V143" s="124"/>
      <c r="W143" s="124"/>
    </row>
    <row r="144">
      <c r="A144" s="94"/>
      <c r="B144" s="138"/>
      <c r="C144" s="120"/>
      <c r="D144" s="120"/>
      <c r="E144" s="120"/>
      <c r="F144" s="113"/>
      <c r="G144" s="114"/>
      <c r="H144" s="115"/>
      <c r="I144" s="113"/>
      <c r="J144" s="113"/>
      <c r="K144" s="115"/>
      <c r="L144" s="115"/>
      <c r="M144" s="114"/>
      <c r="N144" s="114"/>
      <c r="O144" s="114"/>
      <c r="P144" s="114"/>
      <c r="Q144" s="115"/>
      <c r="R144" s="113"/>
      <c r="S144" s="128"/>
      <c r="T144" s="113"/>
      <c r="U144" s="124"/>
      <c r="V144" s="124"/>
      <c r="W144" s="124"/>
    </row>
    <row r="145">
      <c r="A145" s="94"/>
      <c r="B145" s="138"/>
      <c r="C145" s="120"/>
      <c r="D145" s="120"/>
      <c r="E145" s="120"/>
      <c r="F145" s="113"/>
      <c r="G145" s="114"/>
      <c r="H145" s="115"/>
      <c r="I145" s="113"/>
      <c r="J145" s="113"/>
      <c r="K145" s="115"/>
      <c r="L145" s="115"/>
      <c r="M145" s="114"/>
      <c r="N145" s="114"/>
      <c r="O145" s="114"/>
      <c r="P145" s="114"/>
      <c r="Q145" s="115"/>
      <c r="R145" s="113"/>
      <c r="S145" s="128"/>
      <c r="T145" s="113"/>
      <c r="U145" s="124"/>
      <c r="V145" s="124"/>
      <c r="W145" s="124"/>
    </row>
    <row r="146">
      <c r="A146" s="101"/>
      <c r="B146" s="101"/>
      <c r="C146" s="120"/>
      <c r="D146" s="120"/>
      <c r="E146" s="120"/>
      <c r="F146" s="113"/>
      <c r="G146" s="114"/>
      <c r="H146" s="115"/>
      <c r="I146" s="113"/>
      <c r="J146" s="113"/>
      <c r="K146" s="115"/>
      <c r="L146" s="115"/>
      <c r="M146" s="114"/>
      <c r="N146" s="114"/>
      <c r="O146" s="114"/>
      <c r="P146" s="114"/>
      <c r="Q146" s="115"/>
      <c r="R146" s="113"/>
      <c r="S146" s="128"/>
      <c r="T146" s="113"/>
      <c r="U146" s="124"/>
      <c r="V146" s="124"/>
      <c r="W146" s="124"/>
    </row>
    <row r="147">
      <c r="A147" s="94"/>
      <c r="B147" s="94"/>
      <c r="C147" s="120"/>
      <c r="D147" s="120"/>
      <c r="E147" s="120"/>
      <c r="F147" s="113"/>
      <c r="G147" s="114"/>
      <c r="H147" s="115"/>
      <c r="I147" s="113"/>
      <c r="J147" s="113"/>
      <c r="K147" s="115"/>
      <c r="L147" s="115"/>
      <c r="M147" s="114"/>
      <c r="N147" s="114"/>
      <c r="O147" s="114"/>
      <c r="P147" s="114"/>
      <c r="Q147" s="115"/>
      <c r="R147" s="113"/>
      <c r="S147" s="128"/>
      <c r="T147" s="113"/>
      <c r="U147" s="124"/>
      <c r="V147" s="124"/>
      <c r="W147" s="124"/>
    </row>
    <row r="148">
      <c r="A148" s="101"/>
      <c r="B148" s="101"/>
      <c r="C148" s="120"/>
      <c r="D148" s="120"/>
      <c r="E148" s="120"/>
      <c r="F148" s="113"/>
      <c r="G148" s="114"/>
      <c r="H148" s="115"/>
      <c r="I148" s="113"/>
      <c r="J148" s="113"/>
      <c r="K148" s="115"/>
      <c r="L148" s="115"/>
      <c r="M148" s="114"/>
      <c r="N148" s="114"/>
      <c r="O148" s="114"/>
      <c r="P148" s="114"/>
      <c r="Q148" s="115"/>
      <c r="R148" s="113"/>
      <c r="S148" s="128"/>
      <c r="T148" s="113"/>
      <c r="U148" s="124"/>
      <c r="V148" s="124"/>
      <c r="W148" s="124"/>
    </row>
    <row r="149">
      <c r="A149" s="94"/>
      <c r="B149" s="94"/>
      <c r="C149" s="120"/>
      <c r="D149" s="120"/>
      <c r="E149" s="120"/>
      <c r="F149" s="113"/>
      <c r="G149" s="114"/>
      <c r="H149" s="115"/>
      <c r="I149" s="113"/>
      <c r="J149" s="113"/>
      <c r="K149" s="115"/>
      <c r="L149" s="115"/>
      <c r="M149" s="114"/>
      <c r="N149" s="114"/>
      <c r="O149" s="114"/>
      <c r="P149" s="114"/>
      <c r="Q149" s="115"/>
      <c r="R149" s="113"/>
      <c r="S149" s="128"/>
      <c r="T149" s="113"/>
      <c r="U149" s="124"/>
      <c r="V149" s="124"/>
      <c r="W149" s="124"/>
    </row>
    <row r="150">
      <c r="A150" s="94"/>
      <c r="B150" s="138"/>
      <c r="C150" s="120"/>
      <c r="D150" s="120"/>
      <c r="E150" s="120"/>
      <c r="F150" s="113"/>
      <c r="G150" s="114"/>
      <c r="H150" s="140"/>
      <c r="I150" s="113"/>
      <c r="J150" s="113"/>
      <c r="K150" s="114"/>
      <c r="L150" s="114"/>
      <c r="M150" s="114"/>
      <c r="N150" s="114"/>
      <c r="O150" s="114"/>
      <c r="P150" s="114"/>
      <c r="Q150" s="115"/>
      <c r="R150" s="113"/>
      <c r="S150" s="113"/>
      <c r="T150" s="140"/>
      <c r="U150" s="124"/>
      <c r="V150" s="124"/>
      <c r="W150" s="124"/>
    </row>
    <row r="151">
      <c r="A151" s="94"/>
      <c r="B151" s="138"/>
      <c r="C151" s="120"/>
      <c r="D151" s="120"/>
      <c r="E151" s="120"/>
      <c r="F151" s="113"/>
      <c r="G151" s="114"/>
      <c r="H151" s="140"/>
      <c r="I151" s="113"/>
      <c r="J151" s="113"/>
      <c r="K151" s="114"/>
      <c r="L151" s="114"/>
      <c r="M151" s="114"/>
      <c r="N151" s="114"/>
      <c r="O151" s="114"/>
      <c r="P151" s="114"/>
      <c r="Q151" s="115"/>
      <c r="R151" s="113"/>
      <c r="S151" s="113"/>
      <c r="T151" s="140"/>
      <c r="U151" s="124"/>
      <c r="V151" s="124"/>
      <c r="W151" s="124"/>
    </row>
    <row r="152">
      <c r="A152" s="94"/>
      <c r="B152" s="94"/>
      <c r="C152" s="120"/>
      <c r="D152" s="120"/>
      <c r="E152" s="120"/>
      <c r="F152" s="113"/>
      <c r="G152" s="114"/>
      <c r="H152" s="115"/>
      <c r="I152" s="113"/>
      <c r="J152" s="113"/>
      <c r="K152" s="115"/>
      <c r="L152" s="115"/>
      <c r="M152" s="114"/>
      <c r="N152" s="114"/>
      <c r="O152" s="114"/>
      <c r="P152" s="114"/>
      <c r="Q152" s="115"/>
      <c r="R152" s="113"/>
      <c r="S152" s="128"/>
      <c r="T152" s="113"/>
      <c r="U152" s="124"/>
      <c r="V152" s="124"/>
      <c r="W152" s="124"/>
    </row>
    <row r="153">
      <c r="A153" s="94"/>
      <c r="B153" s="138"/>
      <c r="C153" s="120"/>
      <c r="D153" s="120"/>
      <c r="E153" s="120"/>
      <c r="F153" s="113"/>
      <c r="G153" s="114"/>
      <c r="H153" s="140"/>
      <c r="I153" s="113"/>
      <c r="J153" s="113"/>
      <c r="K153" s="114"/>
      <c r="L153" s="114"/>
      <c r="M153" s="114"/>
      <c r="N153" s="114"/>
      <c r="O153" s="114"/>
      <c r="P153" s="114"/>
      <c r="Q153" s="115"/>
      <c r="R153" s="113"/>
      <c r="S153" s="113"/>
      <c r="T153" s="140"/>
      <c r="U153" s="124"/>
      <c r="V153" s="124"/>
      <c r="W153" s="124"/>
    </row>
    <row r="154">
      <c r="A154" s="94"/>
      <c r="B154" s="138"/>
      <c r="C154" s="120"/>
      <c r="D154" s="120"/>
      <c r="E154" s="120"/>
      <c r="F154" s="113"/>
      <c r="G154" s="114"/>
      <c r="H154" s="115"/>
      <c r="I154" s="113"/>
      <c r="J154" s="115"/>
      <c r="K154" s="115"/>
      <c r="L154" s="115"/>
      <c r="M154" s="146"/>
      <c r="N154" s="146"/>
      <c r="O154" s="146"/>
      <c r="P154" s="146"/>
      <c r="Q154" s="115"/>
      <c r="R154" s="113"/>
      <c r="S154" s="113"/>
      <c r="T154" s="113"/>
      <c r="U154" s="124"/>
      <c r="V154" s="124"/>
      <c r="W154" s="124"/>
    </row>
    <row r="155">
      <c r="A155" s="94"/>
      <c r="B155" s="138"/>
      <c r="C155" s="120"/>
      <c r="D155" s="120"/>
      <c r="E155" s="120"/>
      <c r="F155" s="113"/>
      <c r="G155" s="114"/>
      <c r="H155" s="115"/>
      <c r="I155" s="113"/>
      <c r="J155" s="115"/>
      <c r="K155" s="115"/>
      <c r="L155" s="115"/>
      <c r="M155" s="146"/>
      <c r="N155" s="146"/>
      <c r="O155" s="146"/>
      <c r="P155" s="146"/>
      <c r="Q155" s="115"/>
      <c r="R155" s="113"/>
      <c r="S155" s="113"/>
      <c r="T155" s="113"/>
      <c r="U155" s="124"/>
      <c r="V155" s="124"/>
      <c r="W155" s="124"/>
    </row>
    <row r="156">
      <c r="A156" s="94"/>
      <c r="B156" s="138"/>
      <c r="C156" s="120"/>
      <c r="D156" s="120"/>
      <c r="E156" s="120"/>
      <c r="F156" s="113"/>
      <c r="G156" s="114"/>
      <c r="H156" s="115"/>
      <c r="I156" s="113"/>
      <c r="J156" s="115"/>
      <c r="K156" s="115"/>
      <c r="L156" s="115"/>
      <c r="M156" s="146"/>
      <c r="N156" s="146"/>
      <c r="O156" s="146"/>
      <c r="P156" s="146"/>
      <c r="Q156" s="115"/>
      <c r="R156" s="113"/>
      <c r="S156" s="113"/>
      <c r="T156" s="113"/>
      <c r="U156" s="124"/>
      <c r="V156" s="124"/>
      <c r="W156" s="124"/>
    </row>
    <row r="157">
      <c r="A157" s="94"/>
      <c r="B157" s="138"/>
      <c r="C157" s="120"/>
      <c r="D157" s="120"/>
      <c r="E157" s="120"/>
      <c r="F157" s="113"/>
      <c r="G157" s="114"/>
      <c r="H157" s="115"/>
      <c r="I157" s="113"/>
      <c r="J157" s="115"/>
      <c r="K157" s="115"/>
      <c r="L157" s="115"/>
      <c r="M157" s="146"/>
      <c r="N157" s="146"/>
      <c r="O157" s="146"/>
      <c r="P157" s="146"/>
      <c r="Q157" s="115"/>
      <c r="R157" s="113"/>
      <c r="S157" s="113"/>
      <c r="T157" s="113"/>
      <c r="U157" s="124"/>
      <c r="V157" s="124"/>
      <c r="W157" s="124"/>
    </row>
    <row r="158">
      <c r="A158" s="94"/>
      <c r="B158" s="138"/>
      <c r="C158" s="120"/>
      <c r="D158" s="120"/>
      <c r="E158" s="120"/>
      <c r="F158" s="113"/>
      <c r="G158" s="114"/>
      <c r="H158" s="115"/>
      <c r="I158" s="113"/>
      <c r="J158" s="115"/>
      <c r="K158" s="115"/>
      <c r="L158" s="115"/>
      <c r="M158" s="146"/>
      <c r="N158" s="146"/>
      <c r="O158" s="146"/>
      <c r="P158" s="146"/>
      <c r="Q158" s="115"/>
      <c r="R158" s="113"/>
      <c r="S158" s="113"/>
      <c r="T158" s="113"/>
      <c r="U158" s="124"/>
      <c r="V158" s="124"/>
      <c r="W158" s="124"/>
    </row>
    <row r="159">
      <c r="A159" s="94"/>
      <c r="B159" s="138"/>
      <c r="C159" s="120"/>
      <c r="D159" s="120"/>
      <c r="E159" s="120"/>
      <c r="F159" s="113"/>
      <c r="G159" s="114"/>
      <c r="H159" s="115"/>
      <c r="I159" s="113"/>
      <c r="J159" s="115"/>
      <c r="K159" s="115"/>
      <c r="L159" s="115"/>
      <c r="M159" s="146"/>
      <c r="N159" s="146"/>
      <c r="O159" s="146"/>
      <c r="P159" s="146"/>
      <c r="Q159" s="115"/>
      <c r="R159" s="113"/>
      <c r="S159" s="113"/>
      <c r="T159" s="113"/>
      <c r="U159" s="124"/>
      <c r="V159" s="124"/>
      <c r="W159" s="124"/>
    </row>
    <row r="160">
      <c r="A160" s="94"/>
      <c r="B160" s="138"/>
      <c r="C160" s="120"/>
      <c r="D160" s="120"/>
      <c r="E160" s="120"/>
      <c r="F160" s="113"/>
      <c r="G160" s="114"/>
      <c r="H160" s="115"/>
      <c r="I160" s="113"/>
      <c r="J160" s="115"/>
      <c r="K160" s="115"/>
      <c r="L160" s="115"/>
      <c r="M160" s="146"/>
      <c r="N160" s="146"/>
      <c r="O160" s="146"/>
      <c r="P160" s="146"/>
      <c r="Q160" s="115"/>
      <c r="R160" s="113"/>
      <c r="S160" s="113"/>
      <c r="T160" s="113"/>
      <c r="U160" s="124"/>
      <c r="V160" s="124"/>
      <c r="W160" s="124"/>
    </row>
    <row r="161">
      <c r="A161" s="94"/>
      <c r="B161" s="138"/>
      <c r="C161" s="120"/>
      <c r="D161" s="120"/>
      <c r="E161" s="120"/>
      <c r="F161" s="113"/>
      <c r="G161" s="114"/>
      <c r="H161" s="115"/>
      <c r="I161" s="113"/>
      <c r="J161" s="115"/>
      <c r="K161" s="115"/>
      <c r="L161" s="115"/>
      <c r="M161" s="146"/>
      <c r="N161" s="146"/>
      <c r="O161" s="146"/>
      <c r="P161" s="146"/>
      <c r="Q161" s="115"/>
      <c r="R161" s="113"/>
      <c r="S161" s="113"/>
      <c r="T161" s="113"/>
      <c r="U161" s="124"/>
      <c r="V161" s="124"/>
      <c r="W161" s="124"/>
    </row>
    <row r="162">
      <c r="A162" s="94"/>
      <c r="B162" s="138"/>
      <c r="C162" s="120"/>
      <c r="D162" s="120"/>
      <c r="E162" s="120"/>
      <c r="F162" s="113"/>
      <c r="G162" s="114"/>
      <c r="H162" s="115"/>
      <c r="I162" s="113"/>
      <c r="J162" s="115"/>
      <c r="K162" s="115"/>
      <c r="L162" s="115"/>
      <c r="M162" s="146"/>
      <c r="N162" s="146"/>
      <c r="O162" s="146"/>
      <c r="P162" s="146"/>
      <c r="Q162" s="115"/>
      <c r="R162" s="113"/>
      <c r="S162" s="113"/>
      <c r="T162" s="113"/>
      <c r="U162" s="124"/>
      <c r="V162" s="124"/>
      <c r="W162" s="124"/>
    </row>
    <row r="163">
      <c r="A163" s="94"/>
      <c r="B163" s="138"/>
      <c r="C163" s="120"/>
      <c r="D163" s="120"/>
      <c r="E163" s="120"/>
      <c r="F163" s="113"/>
      <c r="G163" s="114"/>
      <c r="H163" s="115"/>
      <c r="I163" s="113"/>
      <c r="J163" s="115"/>
      <c r="K163" s="115"/>
      <c r="L163" s="115"/>
      <c r="M163" s="146"/>
      <c r="N163" s="146"/>
      <c r="O163" s="146"/>
      <c r="P163" s="146"/>
      <c r="Q163" s="115"/>
      <c r="R163" s="113"/>
      <c r="S163" s="113"/>
      <c r="T163" s="113"/>
      <c r="U163" s="124"/>
      <c r="V163" s="124"/>
      <c r="W163" s="124"/>
    </row>
    <row r="164">
      <c r="A164" s="94"/>
      <c r="B164" s="138"/>
      <c r="C164" s="120"/>
      <c r="D164" s="120"/>
      <c r="E164" s="120"/>
      <c r="F164" s="113"/>
      <c r="G164" s="114"/>
      <c r="H164" s="115"/>
      <c r="I164" s="113"/>
      <c r="J164" s="115"/>
      <c r="K164" s="115"/>
      <c r="L164" s="115"/>
      <c r="M164" s="146"/>
      <c r="N164" s="146"/>
      <c r="O164" s="146"/>
      <c r="P164" s="146"/>
      <c r="Q164" s="115"/>
      <c r="R164" s="113"/>
      <c r="S164" s="113"/>
      <c r="T164" s="113"/>
      <c r="U164" s="124"/>
      <c r="V164" s="124"/>
      <c r="W164" s="124"/>
    </row>
    <row r="165">
      <c r="A165" s="94"/>
      <c r="B165" s="138"/>
      <c r="C165" s="120"/>
      <c r="D165" s="120"/>
      <c r="E165" s="120"/>
      <c r="F165" s="113"/>
      <c r="G165" s="114"/>
      <c r="H165" s="115"/>
      <c r="I165" s="113"/>
      <c r="J165" s="115"/>
      <c r="K165" s="115"/>
      <c r="L165" s="115"/>
      <c r="M165" s="146"/>
      <c r="N165" s="146"/>
      <c r="O165" s="146"/>
      <c r="P165" s="146"/>
      <c r="Q165" s="115"/>
      <c r="R165" s="113"/>
      <c r="S165" s="113"/>
      <c r="T165" s="113"/>
      <c r="U165" s="124"/>
      <c r="V165" s="124"/>
      <c r="W165" s="124"/>
    </row>
    <row r="166">
      <c r="A166" s="94"/>
      <c r="B166" s="138"/>
      <c r="C166" s="120"/>
      <c r="D166" s="120"/>
      <c r="E166" s="120"/>
      <c r="F166" s="113"/>
      <c r="G166" s="114"/>
      <c r="H166" s="115"/>
      <c r="I166" s="113"/>
      <c r="J166" s="115"/>
      <c r="K166" s="115"/>
      <c r="L166" s="115"/>
      <c r="M166" s="146"/>
      <c r="N166" s="146"/>
      <c r="O166" s="146"/>
      <c r="P166" s="146"/>
      <c r="Q166" s="115"/>
      <c r="R166" s="113"/>
      <c r="S166" s="113"/>
      <c r="T166" s="113"/>
      <c r="U166" s="124"/>
      <c r="V166" s="124"/>
      <c r="W166" s="124"/>
    </row>
    <row r="167">
      <c r="A167" s="94"/>
      <c r="B167" s="138"/>
      <c r="C167" s="120"/>
      <c r="D167" s="120"/>
      <c r="E167" s="120"/>
      <c r="F167" s="113"/>
      <c r="G167" s="114"/>
      <c r="H167" s="115"/>
      <c r="I167" s="113"/>
      <c r="J167" s="115"/>
      <c r="K167" s="115"/>
      <c r="L167" s="115"/>
      <c r="M167" s="146"/>
      <c r="N167" s="146"/>
      <c r="O167" s="146"/>
      <c r="P167" s="146"/>
      <c r="Q167" s="115"/>
      <c r="R167" s="113"/>
      <c r="S167" s="113"/>
      <c r="T167" s="113"/>
      <c r="U167" s="124"/>
      <c r="V167" s="124"/>
      <c r="W167" s="124"/>
    </row>
    <row r="168">
      <c r="A168" s="94"/>
      <c r="B168" s="138"/>
      <c r="C168" s="120"/>
      <c r="D168" s="120"/>
      <c r="E168" s="120"/>
      <c r="F168" s="113"/>
      <c r="G168" s="114"/>
      <c r="H168" s="115"/>
      <c r="I168" s="113"/>
      <c r="J168" s="115"/>
      <c r="K168" s="115"/>
      <c r="L168" s="115"/>
      <c r="M168" s="146"/>
      <c r="N168" s="146"/>
      <c r="O168" s="146"/>
      <c r="P168" s="146"/>
      <c r="Q168" s="115"/>
      <c r="R168" s="113"/>
      <c r="S168" s="113"/>
      <c r="T168" s="113"/>
      <c r="U168" s="124"/>
      <c r="V168" s="124"/>
      <c r="W168" s="124"/>
    </row>
    <row r="169">
      <c r="A169" s="94"/>
      <c r="B169" s="138"/>
      <c r="C169" s="120"/>
      <c r="D169" s="120"/>
      <c r="E169" s="120"/>
      <c r="F169" s="113"/>
      <c r="G169" s="114"/>
      <c r="H169" s="115"/>
      <c r="I169" s="113"/>
      <c r="J169" s="115"/>
      <c r="K169" s="115"/>
      <c r="L169" s="115"/>
      <c r="M169" s="146"/>
      <c r="N169" s="146"/>
      <c r="O169" s="146"/>
      <c r="P169" s="146"/>
      <c r="Q169" s="115"/>
      <c r="R169" s="113"/>
      <c r="S169" s="113"/>
      <c r="T169" s="113"/>
      <c r="U169" s="124"/>
      <c r="V169" s="124"/>
      <c r="W169" s="124"/>
    </row>
    <row r="170">
      <c r="A170" s="94"/>
      <c r="B170" s="138"/>
      <c r="C170" s="120"/>
      <c r="D170" s="120"/>
      <c r="E170" s="120"/>
      <c r="F170" s="113"/>
      <c r="G170" s="114"/>
      <c r="H170" s="115"/>
      <c r="I170" s="113"/>
      <c r="J170" s="115"/>
      <c r="K170" s="115"/>
      <c r="L170" s="115"/>
      <c r="M170" s="146"/>
      <c r="N170" s="146"/>
      <c r="O170" s="146"/>
      <c r="P170" s="146"/>
      <c r="Q170" s="115"/>
      <c r="R170" s="113"/>
      <c r="S170" s="113"/>
      <c r="T170" s="113"/>
      <c r="U170" s="124"/>
      <c r="V170" s="124"/>
      <c r="W170" s="124"/>
    </row>
    <row r="171">
      <c r="A171" s="94"/>
      <c r="B171" s="138"/>
      <c r="C171" s="120"/>
      <c r="D171" s="120"/>
      <c r="E171" s="120"/>
      <c r="F171" s="113"/>
      <c r="G171" s="114"/>
      <c r="H171" s="115"/>
      <c r="I171" s="113"/>
      <c r="J171" s="115"/>
      <c r="K171" s="115"/>
      <c r="L171" s="115"/>
      <c r="M171" s="146"/>
      <c r="N171" s="146"/>
      <c r="O171" s="146"/>
      <c r="P171" s="146"/>
      <c r="Q171" s="115"/>
      <c r="R171" s="113"/>
      <c r="S171" s="113"/>
      <c r="T171" s="113"/>
      <c r="U171" s="124"/>
      <c r="V171" s="124"/>
      <c r="W171" s="124"/>
    </row>
    <row r="172">
      <c r="A172" s="94"/>
      <c r="B172" s="138"/>
      <c r="C172" s="120"/>
      <c r="D172" s="120"/>
      <c r="E172" s="120"/>
      <c r="F172" s="113"/>
      <c r="G172" s="114"/>
      <c r="H172" s="115"/>
      <c r="I172" s="113"/>
      <c r="J172" s="115"/>
      <c r="K172" s="115"/>
      <c r="L172" s="115"/>
      <c r="M172" s="146"/>
      <c r="N172" s="146"/>
      <c r="O172" s="146"/>
      <c r="P172" s="146"/>
      <c r="Q172" s="115"/>
      <c r="R172" s="113"/>
      <c r="S172" s="113"/>
      <c r="T172" s="113"/>
      <c r="U172" s="124"/>
      <c r="V172" s="124"/>
      <c r="W172" s="124"/>
    </row>
    <row r="173">
      <c r="A173" s="94"/>
      <c r="B173" s="138"/>
      <c r="C173" s="120"/>
      <c r="D173" s="120"/>
      <c r="E173" s="120"/>
      <c r="F173" s="113"/>
      <c r="G173" s="114"/>
      <c r="H173" s="115"/>
      <c r="I173" s="113"/>
      <c r="J173" s="115"/>
      <c r="K173" s="115"/>
      <c r="L173" s="115"/>
      <c r="M173" s="146"/>
      <c r="N173" s="146"/>
      <c r="O173" s="146"/>
      <c r="P173" s="146"/>
      <c r="Q173" s="115"/>
      <c r="R173" s="113"/>
      <c r="S173" s="113"/>
      <c r="T173" s="113"/>
      <c r="U173" s="124"/>
      <c r="V173" s="124"/>
      <c r="W173" s="124"/>
    </row>
    <row r="174">
      <c r="A174" s="94"/>
      <c r="B174" s="138"/>
      <c r="C174" s="120"/>
      <c r="D174" s="120"/>
      <c r="E174" s="120"/>
      <c r="F174" s="113"/>
      <c r="G174" s="114"/>
      <c r="H174" s="115"/>
      <c r="I174" s="113"/>
      <c r="J174" s="115"/>
      <c r="K174" s="115"/>
      <c r="L174" s="115"/>
      <c r="M174" s="146"/>
      <c r="N174" s="146"/>
      <c r="O174" s="146"/>
      <c r="P174" s="146"/>
      <c r="Q174" s="115"/>
      <c r="R174" s="113"/>
      <c r="S174" s="113"/>
      <c r="T174" s="113"/>
      <c r="U174" s="124"/>
      <c r="V174" s="124"/>
      <c r="W174" s="124"/>
    </row>
    <row r="175">
      <c r="A175" s="94"/>
      <c r="B175" s="138"/>
      <c r="C175" s="120"/>
      <c r="D175" s="120"/>
      <c r="E175" s="120"/>
      <c r="F175" s="113"/>
      <c r="G175" s="114"/>
      <c r="H175" s="115"/>
      <c r="I175" s="113"/>
      <c r="J175" s="115"/>
      <c r="K175" s="115"/>
      <c r="L175" s="115"/>
      <c r="M175" s="146"/>
      <c r="N175" s="146"/>
      <c r="O175" s="146"/>
      <c r="P175" s="146"/>
      <c r="Q175" s="115"/>
      <c r="R175" s="113"/>
      <c r="S175" s="113"/>
      <c r="T175" s="113"/>
      <c r="U175" s="124"/>
      <c r="V175" s="124"/>
      <c r="W175" s="124"/>
    </row>
    <row r="176">
      <c r="A176" s="94"/>
      <c r="B176" s="138"/>
      <c r="C176" s="120"/>
      <c r="D176" s="120"/>
      <c r="E176" s="120"/>
      <c r="F176" s="113"/>
      <c r="G176" s="114"/>
      <c r="H176" s="115"/>
      <c r="I176" s="113"/>
      <c r="J176" s="115"/>
      <c r="K176" s="115"/>
      <c r="L176" s="115"/>
      <c r="M176" s="146"/>
      <c r="N176" s="146"/>
      <c r="O176" s="146"/>
      <c r="P176" s="146"/>
      <c r="Q176" s="115"/>
      <c r="R176" s="113"/>
      <c r="S176" s="113"/>
      <c r="T176" s="113"/>
      <c r="U176" s="124"/>
      <c r="V176" s="124"/>
      <c r="W176" s="124"/>
    </row>
    <row r="177">
      <c r="A177" s="94"/>
      <c r="B177" s="138"/>
      <c r="C177" s="120"/>
      <c r="D177" s="120"/>
      <c r="E177" s="120"/>
      <c r="F177" s="113"/>
      <c r="G177" s="114"/>
      <c r="H177" s="115"/>
      <c r="I177" s="113"/>
      <c r="J177" s="115"/>
      <c r="K177" s="115"/>
      <c r="L177" s="115"/>
      <c r="M177" s="146"/>
      <c r="N177" s="146"/>
      <c r="O177" s="146"/>
      <c r="P177" s="146"/>
      <c r="Q177" s="115"/>
      <c r="R177" s="113"/>
      <c r="S177" s="113"/>
      <c r="T177" s="113"/>
      <c r="U177" s="124"/>
      <c r="V177" s="124"/>
      <c r="W177" s="124"/>
    </row>
    <row r="178">
      <c r="A178" s="94"/>
      <c r="B178" s="138"/>
      <c r="C178" s="120"/>
      <c r="D178" s="120"/>
      <c r="E178" s="120"/>
      <c r="F178" s="113"/>
      <c r="G178" s="114"/>
      <c r="H178" s="115"/>
      <c r="I178" s="113"/>
      <c r="J178" s="115"/>
      <c r="K178" s="115"/>
      <c r="L178" s="115"/>
      <c r="M178" s="146"/>
      <c r="N178" s="146"/>
      <c r="O178" s="146"/>
      <c r="P178" s="146"/>
      <c r="Q178" s="115"/>
      <c r="R178" s="113"/>
      <c r="S178" s="113"/>
      <c r="T178" s="113"/>
      <c r="U178" s="124"/>
      <c r="V178" s="124"/>
      <c r="W178" s="124"/>
    </row>
    <row r="179">
      <c r="A179" s="94"/>
      <c r="B179" s="138"/>
      <c r="C179" s="120"/>
      <c r="D179" s="120"/>
      <c r="E179" s="120"/>
      <c r="F179" s="113"/>
      <c r="G179" s="114"/>
      <c r="H179" s="115"/>
      <c r="I179" s="113"/>
      <c r="J179" s="115"/>
      <c r="K179" s="115"/>
      <c r="L179" s="115"/>
      <c r="M179" s="146"/>
      <c r="N179" s="146"/>
      <c r="O179" s="146"/>
      <c r="P179" s="146"/>
      <c r="Q179" s="115"/>
      <c r="R179" s="113"/>
      <c r="S179" s="113"/>
      <c r="T179" s="113"/>
      <c r="U179" s="124"/>
      <c r="V179" s="124"/>
      <c r="W179" s="124"/>
    </row>
    <row r="180">
      <c r="A180" s="94"/>
      <c r="B180" s="138"/>
      <c r="C180" s="120"/>
      <c r="D180" s="120"/>
      <c r="E180" s="120"/>
      <c r="F180" s="113"/>
      <c r="G180" s="114"/>
      <c r="H180" s="115"/>
      <c r="I180" s="113"/>
      <c r="J180" s="115"/>
      <c r="K180" s="115"/>
      <c r="L180" s="115"/>
      <c r="M180" s="146"/>
      <c r="N180" s="146"/>
      <c r="O180" s="146"/>
      <c r="P180" s="146"/>
      <c r="Q180" s="115"/>
      <c r="R180" s="113"/>
      <c r="S180" s="113"/>
      <c r="T180" s="113"/>
      <c r="U180" s="124"/>
      <c r="V180" s="124"/>
      <c r="W180" s="124"/>
    </row>
    <row r="181">
      <c r="A181" s="94"/>
      <c r="B181" s="138"/>
      <c r="C181" s="120"/>
      <c r="D181" s="120"/>
      <c r="E181" s="120"/>
      <c r="F181" s="113"/>
      <c r="G181" s="114"/>
      <c r="H181" s="115"/>
      <c r="I181" s="113"/>
      <c r="J181" s="115"/>
      <c r="K181" s="115"/>
      <c r="L181" s="115"/>
      <c r="M181" s="146"/>
      <c r="N181" s="146"/>
      <c r="O181" s="146"/>
      <c r="P181" s="146"/>
      <c r="Q181" s="115"/>
      <c r="R181" s="113"/>
      <c r="S181" s="113"/>
      <c r="T181" s="113"/>
      <c r="U181" s="124"/>
      <c r="V181" s="124"/>
      <c r="W181" s="124"/>
    </row>
    <row r="182">
      <c r="A182" s="94"/>
      <c r="B182" s="138"/>
      <c r="C182" s="120"/>
      <c r="D182" s="120"/>
      <c r="E182" s="120"/>
      <c r="F182" s="113"/>
      <c r="G182" s="114"/>
      <c r="H182" s="115"/>
      <c r="I182" s="113"/>
      <c r="J182" s="115"/>
      <c r="K182" s="115"/>
      <c r="L182" s="115"/>
      <c r="M182" s="146"/>
      <c r="N182" s="146"/>
      <c r="O182" s="146"/>
      <c r="P182" s="146"/>
      <c r="Q182" s="115"/>
      <c r="R182" s="113"/>
      <c r="S182" s="113"/>
      <c r="T182" s="113"/>
      <c r="U182" s="124"/>
      <c r="V182" s="124"/>
      <c r="W182" s="124"/>
    </row>
    <row r="183">
      <c r="A183" s="94"/>
      <c r="B183" s="138"/>
      <c r="C183" s="120"/>
      <c r="D183" s="120"/>
      <c r="E183" s="120"/>
      <c r="F183" s="113"/>
      <c r="G183" s="114"/>
      <c r="H183" s="115"/>
      <c r="I183" s="113"/>
      <c r="J183" s="115"/>
      <c r="K183" s="115"/>
      <c r="L183" s="115"/>
      <c r="M183" s="146"/>
      <c r="N183" s="146"/>
      <c r="O183" s="146"/>
      <c r="P183" s="146"/>
      <c r="Q183" s="115"/>
      <c r="R183" s="113"/>
      <c r="S183" s="113"/>
      <c r="T183" s="113"/>
      <c r="U183" s="124"/>
      <c r="V183" s="124"/>
      <c r="W183" s="124"/>
    </row>
    <row r="184">
      <c r="A184" s="94"/>
      <c r="B184" s="138"/>
      <c r="C184" s="120"/>
      <c r="D184" s="120"/>
      <c r="E184" s="120"/>
      <c r="F184" s="113"/>
      <c r="G184" s="114"/>
      <c r="H184" s="115"/>
      <c r="I184" s="113"/>
      <c r="J184" s="115"/>
      <c r="K184" s="115"/>
      <c r="L184" s="115"/>
      <c r="M184" s="146"/>
      <c r="N184" s="146"/>
      <c r="O184" s="146"/>
      <c r="P184" s="146"/>
      <c r="Q184" s="115"/>
      <c r="R184" s="113"/>
      <c r="S184" s="113"/>
      <c r="T184" s="113"/>
      <c r="U184" s="124"/>
      <c r="V184" s="124"/>
      <c r="W184" s="124"/>
    </row>
    <row r="185">
      <c r="A185" s="94"/>
      <c r="B185" s="138"/>
      <c r="C185" s="120"/>
      <c r="D185" s="120"/>
      <c r="E185" s="120"/>
      <c r="F185" s="113"/>
      <c r="G185" s="114"/>
      <c r="H185" s="115"/>
      <c r="I185" s="113"/>
      <c r="J185" s="115"/>
      <c r="K185" s="115"/>
      <c r="L185" s="115"/>
      <c r="M185" s="146"/>
      <c r="N185" s="146"/>
      <c r="O185" s="146"/>
      <c r="P185" s="146"/>
      <c r="Q185" s="115"/>
      <c r="R185" s="113"/>
      <c r="S185" s="113"/>
      <c r="T185" s="113"/>
      <c r="U185" s="124"/>
      <c r="V185" s="124"/>
      <c r="W185" s="124"/>
    </row>
    <row r="186">
      <c r="A186" s="94"/>
      <c r="B186" s="138"/>
      <c r="C186" s="120"/>
      <c r="D186" s="120"/>
      <c r="E186" s="120"/>
      <c r="F186" s="113"/>
      <c r="G186" s="114"/>
      <c r="H186" s="115"/>
      <c r="I186" s="113"/>
      <c r="J186" s="115"/>
      <c r="K186" s="115"/>
      <c r="L186" s="115"/>
      <c r="M186" s="146"/>
      <c r="N186" s="146"/>
      <c r="O186" s="146"/>
      <c r="P186" s="146"/>
      <c r="Q186" s="115"/>
      <c r="R186" s="113"/>
      <c r="S186" s="113"/>
      <c r="T186" s="113"/>
      <c r="U186" s="124"/>
      <c r="V186" s="124"/>
      <c r="W186" s="124"/>
    </row>
    <row r="187">
      <c r="A187" s="94"/>
      <c r="B187" s="138"/>
      <c r="C187" s="120"/>
      <c r="D187" s="120"/>
      <c r="E187" s="120"/>
      <c r="F187" s="113"/>
      <c r="G187" s="114"/>
      <c r="H187" s="115"/>
      <c r="I187" s="113"/>
      <c r="J187" s="115"/>
      <c r="K187" s="115"/>
      <c r="L187" s="115"/>
      <c r="M187" s="146"/>
      <c r="N187" s="146"/>
      <c r="O187" s="146"/>
      <c r="P187" s="146"/>
      <c r="Q187" s="115"/>
      <c r="R187" s="113"/>
      <c r="S187" s="113"/>
      <c r="T187" s="113"/>
      <c r="U187" s="124"/>
      <c r="V187" s="124"/>
      <c r="W187" s="124"/>
    </row>
    <row r="188">
      <c r="A188" s="94"/>
      <c r="B188" s="138"/>
      <c r="C188" s="120"/>
      <c r="D188" s="120"/>
      <c r="E188" s="120"/>
      <c r="F188" s="113"/>
      <c r="G188" s="114"/>
      <c r="H188" s="115"/>
      <c r="I188" s="113"/>
      <c r="J188" s="115"/>
      <c r="K188" s="115"/>
      <c r="L188" s="115"/>
      <c r="M188" s="146"/>
      <c r="N188" s="146"/>
      <c r="O188" s="146"/>
      <c r="P188" s="146"/>
      <c r="Q188" s="115"/>
      <c r="R188" s="113"/>
      <c r="S188" s="113"/>
      <c r="T188" s="113"/>
      <c r="U188" s="124"/>
      <c r="V188" s="124"/>
      <c r="W188" s="124"/>
    </row>
    <row r="189">
      <c r="A189" s="94"/>
      <c r="B189" s="138"/>
      <c r="C189" s="120"/>
      <c r="D189" s="120"/>
      <c r="E189" s="120"/>
      <c r="F189" s="113"/>
      <c r="G189" s="114"/>
      <c r="H189" s="115"/>
      <c r="I189" s="113"/>
      <c r="J189" s="115"/>
      <c r="K189" s="115"/>
      <c r="L189" s="115"/>
      <c r="M189" s="146"/>
      <c r="N189" s="146"/>
      <c r="O189" s="146"/>
      <c r="P189" s="146"/>
      <c r="Q189" s="115"/>
      <c r="R189" s="113"/>
      <c r="S189" s="113"/>
      <c r="T189" s="113"/>
      <c r="U189" s="124"/>
      <c r="V189" s="124"/>
      <c r="W189" s="124"/>
    </row>
    <row r="190">
      <c r="A190" s="94"/>
      <c r="B190" s="138"/>
      <c r="C190" s="120"/>
      <c r="D190" s="120"/>
      <c r="E190" s="120"/>
      <c r="F190" s="113"/>
      <c r="G190" s="114"/>
      <c r="H190" s="115"/>
      <c r="I190" s="113"/>
      <c r="J190" s="115"/>
      <c r="K190" s="115"/>
      <c r="L190" s="115"/>
      <c r="M190" s="146"/>
      <c r="N190" s="146"/>
      <c r="O190" s="146"/>
      <c r="P190" s="146"/>
      <c r="Q190" s="115"/>
      <c r="R190" s="113"/>
      <c r="S190" s="113"/>
      <c r="T190" s="113"/>
      <c r="U190" s="124"/>
      <c r="V190" s="124"/>
      <c r="W190" s="124"/>
    </row>
    <row r="191">
      <c r="A191" s="94"/>
      <c r="B191" s="138"/>
      <c r="C191" s="120"/>
      <c r="D191" s="120"/>
      <c r="E191" s="120"/>
      <c r="F191" s="113"/>
      <c r="G191" s="114"/>
      <c r="H191" s="115"/>
      <c r="I191" s="113"/>
      <c r="J191" s="115"/>
      <c r="K191" s="115"/>
      <c r="L191" s="115"/>
      <c r="M191" s="146"/>
      <c r="N191" s="146"/>
      <c r="O191" s="146"/>
      <c r="P191" s="146"/>
      <c r="Q191" s="115"/>
      <c r="R191" s="113"/>
      <c r="S191" s="113"/>
      <c r="T191" s="113"/>
      <c r="U191" s="124"/>
      <c r="V191" s="124"/>
      <c r="W191" s="124"/>
    </row>
    <row r="192">
      <c r="A192" s="94"/>
      <c r="B192" s="138"/>
      <c r="C192" s="120"/>
      <c r="D192" s="120"/>
      <c r="E192" s="120"/>
      <c r="F192" s="113"/>
      <c r="G192" s="114"/>
      <c r="H192" s="115"/>
      <c r="I192" s="113"/>
      <c r="J192" s="115"/>
      <c r="K192" s="115"/>
      <c r="L192" s="115"/>
      <c r="M192" s="146"/>
      <c r="N192" s="146"/>
      <c r="O192" s="146"/>
      <c r="P192" s="146"/>
      <c r="Q192" s="115"/>
      <c r="R192" s="113"/>
      <c r="S192" s="113"/>
      <c r="T192" s="113"/>
      <c r="U192" s="124"/>
      <c r="V192" s="124"/>
      <c r="W192" s="124"/>
    </row>
    <row r="193">
      <c r="A193" s="94"/>
      <c r="B193" s="138"/>
      <c r="C193" s="120"/>
      <c r="D193" s="120"/>
      <c r="E193" s="120"/>
      <c r="F193" s="113"/>
      <c r="G193" s="114"/>
      <c r="H193" s="115"/>
      <c r="I193" s="113"/>
      <c r="J193" s="115"/>
      <c r="K193" s="115"/>
      <c r="L193" s="115"/>
      <c r="M193" s="146"/>
      <c r="N193" s="146"/>
      <c r="O193" s="146"/>
      <c r="P193" s="146"/>
      <c r="Q193" s="115"/>
      <c r="R193" s="113"/>
      <c r="S193" s="113"/>
      <c r="T193" s="113"/>
      <c r="U193" s="124"/>
      <c r="V193" s="124"/>
      <c r="W193" s="124"/>
    </row>
    <row r="194">
      <c r="A194" s="94"/>
      <c r="B194" s="138"/>
      <c r="C194" s="120"/>
      <c r="D194" s="120"/>
      <c r="E194" s="120"/>
      <c r="F194" s="113"/>
      <c r="G194" s="114"/>
      <c r="H194" s="115"/>
      <c r="I194" s="113"/>
      <c r="J194" s="115"/>
      <c r="K194" s="115"/>
      <c r="L194" s="115"/>
      <c r="M194" s="146"/>
      <c r="N194" s="146"/>
      <c r="O194" s="146"/>
      <c r="P194" s="146"/>
      <c r="Q194" s="115"/>
      <c r="R194" s="113"/>
      <c r="S194" s="113"/>
      <c r="T194" s="113"/>
      <c r="U194" s="124"/>
      <c r="V194" s="124"/>
      <c r="W194" s="124"/>
    </row>
    <row r="195">
      <c r="A195" s="94"/>
      <c r="B195" s="138"/>
      <c r="C195" s="120"/>
      <c r="D195" s="120"/>
      <c r="E195" s="120"/>
      <c r="F195" s="113"/>
      <c r="G195" s="114"/>
      <c r="H195" s="115"/>
      <c r="I195" s="113"/>
      <c r="J195" s="115"/>
      <c r="K195" s="115"/>
      <c r="L195" s="115"/>
      <c r="M195" s="146"/>
      <c r="N195" s="146"/>
      <c r="O195" s="146"/>
      <c r="P195" s="146"/>
      <c r="Q195" s="115"/>
      <c r="R195" s="113"/>
      <c r="S195" s="113"/>
      <c r="T195" s="113"/>
      <c r="U195" s="124"/>
      <c r="V195" s="124"/>
      <c r="W195" s="124"/>
    </row>
    <row r="196">
      <c r="A196" s="94"/>
      <c r="B196" s="138"/>
      <c r="C196" s="120"/>
      <c r="D196" s="120"/>
      <c r="E196" s="120"/>
      <c r="F196" s="113"/>
      <c r="G196" s="114"/>
      <c r="H196" s="115"/>
      <c r="I196" s="113"/>
      <c r="J196" s="115"/>
      <c r="K196" s="115"/>
      <c r="L196" s="115"/>
      <c r="M196" s="146"/>
      <c r="N196" s="146"/>
      <c r="O196" s="146"/>
      <c r="P196" s="146"/>
      <c r="Q196" s="115"/>
      <c r="R196" s="113"/>
      <c r="S196" s="113"/>
      <c r="T196" s="113"/>
      <c r="U196" s="124"/>
      <c r="V196" s="124"/>
      <c r="W196" s="124"/>
    </row>
    <row r="197">
      <c r="A197" s="94"/>
      <c r="B197" s="138"/>
      <c r="C197" s="120"/>
      <c r="D197" s="120"/>
      <c r="E197" s="120"/>
      <c r="F197" s="113"/>
      <c r="G197" s="114"/>
      <c r="H197" s="115"/>
      <c r="I197" s="113"/>
      <c r="J197" s="115"/>
      <c r="K197" s="115"/>
      <c r="L197" s="115"/>
      <c r="M197" s="146"/>
      <c r="N197" s="146"/>
      <c r="O197" s="146"/>
      <c r="P197" s="146"/>
      <c r="Q197" s="115"/>
      <c r="R197" s="113"/>
      <c r="S197" s="113"/>
      <c r="T197" s="113"/>
      <c r="U197" s="124"/>
      <c r="V197" s="124"/>
      <c r="W197" s="124"/>
    </row>
    <row r="198">
      <c r="A198" s="94"/>
      <c r="B198" s="138"/>
      <c r="C198" s="120"/>
      <c r="D198" s="120"/>
      <c r="E198" s="120"/>
      <c r="F198" s="113"/>
      <c r="G198" s="114"/>
      <c r="H198" s="115"/>
      <c r="I198" s="113"/>
      <c r="J198" s="115"/>
      <c r="K198" s="115"/>
      <c r="L198" s="115"/>
      <c r="M198" s="146"/>
      <c r="N198" s="146"/>
      <c r="O198" s="146"/>
      <c r="P198" s="146"/>
      <c r="Q198" s="115"/>
      <c r="R198" s="113"/>
      <c r="S198" s="113"/>
      <c r="T198" s="113"/>
      <c r="U198" s="124"/>
      <c r="V198" s="124"/>
      <c r="W198" s="124"/>
    </row>
    <row r="199">
      <c r="A199" s="94"/>
      <c r="B199" s="138"/>
      <c r="C199" s="120"/>
      <c r="D199" s="120"/>
      <c r="E199" s="120"/>
      <c r="F199" s="113"/>
      <c r="G199" s="114"/>
      <c r="H199" s="115"/>
      <c r="I199" s="113"/>
      <c r="J199" s="115"/>
      <c r="K199" s="115"/>
      <c r="L199" s="115"/>
      <c r="M199" s="146"/>
      <c r="N199" s="146"/>
      <c r="O199" s="146"/>
      <c r="P199" s="146"/>
      <c r="Q199" s="115"/>
      <c r="R199" s="113"/>
      <c r="S199" s="113"/>
      <c r="T199" s="113"/>
      <c r="U199" s="124"/>
      <c r="V199" s="124"/>
      <c r="W199" s="124"/>
    </row>
    <row r="200">
      <c r="A200" s="94"/>
      <c r="B200" s="138"/>
      <c r="C200" s="120"/>
      <c r="D200" s="120"/>
      <c r="E200" s="120"/>
      <c r="F200" s="113"/>
      <c r="G200" s="114"/>
      <c r="H200" s="115"/>
      <c r="I200" s="113"/>
      <c r="J200" s="115"/>
      <c r="K200" s="115"/>
      <c r="L200" s="115"/>
      <c r="M200" s="146"/>
      <c r="N200" s="146"/>
      <c r="O200" s="146"/>
      <c r="P200" s="146"/>
      <c r="Q200" s="115"/>
      <c r="R200" s="113"/>
      <c r="S200" s="113"/>
      <c r="T200" s="113"/>
      <c r="U200" s="124"/>
      <c r="V200" s="124"/>
      <c r="W200" s="124"/>
    </row>
    <row r="201">
      <c r="A201" s="94"/>
      <c r="B201" s="138"/>
      <c r="C201" s="120"/>
      <c r="D201" s="120"/>
      <c r="E201" s="120"/>
      <c r="F201" s="113"/>
      <c r="G201" s="114"/>
      <c r="H201" s="115"/>
      <c r="I201" s="113"/>
      <c r="J201" s="115"/>
      <c r="K201" s="115"/>
      <c r="L201" s="115"/>
      <c r="M201" s="146"/>
      <c r="N201" s="146"/>
      <c r="O201" s="146"/>
      <c r="P201" s="146"/>
      <c r="Q201" s="115"/>
      <c r="R201" s="113"/>
      <c r="S201" s="113"/>
      <c r="T201" s="113"/>
      <c r="U201" s="124"/>
      <c r="V201" s="124"/>
      <c r="W201" s="124"/>
    </row>
    <row r="202">
      <c r="A202" s="94"/>
      <c r="B202" s="138"/>
      <c r="C202" s="120"/>
      <c r="D202" s="120"/>
      <c r="E202" s="120"/>
      <c r="F202" s="113"/>
      <c r="G202" s="114"/>
      <c r="H202" s="115"/>
      <c r="I202" s="113"/>
      <c r="J202" s="115"/>
      <c r="K202" s="115"/>
      <c r="L202" s="115"/>
      <c r="M202" s="146"/>
      <c r="N202" s="146"/>
      <c r="O202" s="146"/>
      <c r="P202" s="146"/>
      <c r="Q202" s="115"/>
      <c r="R202" s="113"/>
      <c r="S202" s="113"/>
      <c r="T202" s="113"/>
      <c r="U202" s="124"/>
      <c r="V202" s="124"/>
      <c r="W202" s="124"/>
    </row>
    <row r="203">
      <c r="A203" s="94"/>
      <c r="B203" s="138"/>
      <c r="C203" s="120"/>
      <c r="D203" s="120"/>
      <c r="E203" s="120"/>
      <c r="F203" s="113"/>
      <c r="G203" s="114"/>
      <c r="H203" s="115"/>
      <c r="I203" s="113"/>
      <c r="J203" s="115"/>
      <c r="K203" s="115"/>
      <c r="L203" s="115"/>
      <c r="M203" s="146"/>
      <c r="N203" s="146"/>
      <c r="O203" s="146"/>
      <c r="P203" s="146"/>
      <c r="Q203" s="115"/>
      <c r="R203" s="113"/>
      <c r="S203" s="113"/>
      <c r="T203" s="113"/>
      <c r="U203" s="124"/>
      <c r="V203" s="124"/>
      <c r="W203" s="124"/>
    </row>
    <row r="204">
      <c r="A204" s="94"/>
      <c r="B204" s="138"/>
      <c r="C204" s="120"/>
      <c r="D204" s="120"/>
      <c r="E204" s="120"/>
      <c r="F204" s="113"/>
      <c r="G204" s="114"/>
      <c r="H204" s="115"/>
      <c r="I204" s="113"/>
      <c r="J204" s="115"/>
      <c r="K204" s="115"/>
      <c r="L204" s="115"/>
      <c r="M204" s="146"/>
      <c r="N204" s="146"/>
      <c r="O204" s="146"/>
      <c r="P204" s="146"/>
      <c r="Q204" s="115"/>
      <c r="R204" s="113"/>
      <c r="S204" s="113"/>
      <c r="T204" s="113"/>
      <c r="U204" s="124"/>
      <c r="V204" s="124"/>
      <c r="W204" s="124"/>
    </row>
    <row r="205">
      <c r="A205" s="94"/>
      <c r="B205" s="138"/>
      <c r="C205" s="120"/>
      <c r="D205" s="120"/>
      <c r="E205" s="120"/>
      <c r="F205" s="113"/>
      <c r="G205" s="114"/>
      <c r="H205" s="115"/>
      <c r="I205" s="113"/>
      <c r="J205" s="115"/>
      <c r="K205" s="115"/>
      <c r="L205" s="115"/>
      <c r="M205" s="146"/>
      <c r="N205" s="146"/>
      <c r="O205" s="146"/>
      <c r="P205" s="146"/>
      <c r="Q205" s="115"/>
      <c r="R205" s="113"/>
      <c r="S205" s="113"/>
      <c r="T205" s="113"/>
      <c r="U205" s="124"/>
      <c r="V205" s="124"/>
      <c r="W205" s="124"/>
    </row>
    <row r="206">
      <c r="A206" s="94"/>
      <c r="B206" s="138"/>
      <c r="C206" s="120"/>
      <c r="D206" s="120"/>
      <c r="E206" s="120"/>
      <c r="F206" s="113"/>
      <c r="G206" s="114"/>
      <c r="H206" s="115"/>
      <c r="I206" s="113"/>
      <c r="J206" s="115"/>
      <c r="K206" s="115"/>
      <c r="L206" s="115"/>
      <c r="M206" s="146"/>
      <c r="N206" s="146"/>
      <c r="O206" s="146"/>
      <c r="P206" s="146"/>
      <c r="Q206" s="115"/>
      <c r="R206" s="113"/>
      <c r="S206" s="113"/>
      <c r="T206" s="113"/>
      <c r="U206" s="124"/>
      <c r="V206" s="124"/>
      <c r="W206" s="124"/>
    </row>
    <row r="207">
      <c r="A207" s="94"/>
      <c r="B207" s="138"/>
      <c r="C207" s="120"/>
      <c r="D207" s="120"/>
      <c r="E207" s="120"/>
      <c r="F207" s="113"/>
      <c r="G207" s="114"/>
      <c r="H207" s="115"/>
      <c r="I207" s="113"/>
      <c r="J207" s="115"/>
      <c r="K207" s="115"/>
      <c r="L207" s="115"/>
      <c r="M207" s="146"/>
      <c r="N207" s="146"/>
      <c r="O207" s="146"/>
      <c r="P207" s="146"/>
      <c r="Q207" s="115"/>
      <c r="R207" s="113"/>
      <c r="S207" s="113"/>
      <c r="T207" s="113"/>
      <c r="U207" s="124"/>
      <c r="V207" s="124"/>
      <c r="W207" s="124"/>
    </row>
    <row r="208">
      <c r="A208" s="94"/>
      <c r="B208" s="138"/>
      <c r="C208" s="120"/>
      <c r="D208" s="120"/>
      <c r="E208" s="120"/>
      <c r="F208" s="113"/>
      <c r="G208" s="114"/>
      <c r="H208" s="115"/>
      <c r="I208" s="113"/>
      <c r="J208" s="115"/>
      <c r="K208" s="115"/>
      <c r="L208" s="115"/>
      <c r="M208" s="146"/>
      <c r="N208" s="146"/>
      <c r="O208" s="146"/>
      <c r="P208" s="146"/>
      <c r="Q208" s="115"/>
      <c r="R208" s="113"/>
      <c r="S208" s="113"/>
      <c r="T208" s="113"/>
      <c r="U208" s="124"/>
      <c r="V208" s="124"/>
      <c r="W208" s="124"/>
    </row>
    <row r="209">
      <c r="A209" s="94"/>
      <c r="B209" s="138"/>
      <c r="C209" s="120"/>
      <c r="D209" s="120"/>
      <c r="E209" s="120"/>
      <c r="F209" s="113"/>
      <c r="G209" s="114"/>
      <c r="H209" s="115"/>
      <c r="I209" s="113"/>
      <c r="J209" s="115"/>
      <c r="K209" s="115"/>
      <c r="L209" s="115"/>
      <c r="M209" s="146"/>
      <c r="N209" s="146"/>
      <c r="O209" s="146"/>
      <c r="P209" s="146"/>
      <c r="Q209" s="115"/>
      <c r="R209" s="113"/>
      <c r="S209" s="113"/>
      <c r="T209" s="113"/>
      <c r="U209" s="124"/>
      <c r="V209" s="124"/>
      <c r="W209" s="124"/>
    </row>
    <row r="210">
      <c r="A210" s="94"/>
      <c r="B210" s="138"/>
      <c r="C210" s="120"/>
      <c r="D210" s="120"/>
      <c r="E210" s="120"/>
      <c r="F210" s="113"/>
      <c r="G210" s="114"/>
      <c r="H210" s="115"/>
      <c r="I210" s="113"/>
      <c r="J210" s="115"/>
      <c r="K210" s="115"/>
      <c r="L210" s="115"/>
      <c r="M210" s="146"/>
      <c r="N210" s="146"/>
      <c r="O210" s="146"/>
      <c r="P210" s="146"/>
      <c r="Q210" s="115"/>
      <c r="R210" s="113"/>
      <c r="S210" s="113"/>
      <c r="T210" s="113"/>
      <c r="U210" s="124"/>
      <c r="V210" s="124"/>
      <c r="W210" s="124"/>
    </row>
    <row r="211">
      <c r="A211" s="94"/>
      <c r="B211" s="138"/>
      <c r="C211" s="120"/>
      <c r="D211" s="120"/>
      <c r="E211" s="120"/>
      <c r="F211" s="113"/>
      <c r="G211" s="114"/>
      <c r="H211" s="115"/>
      <c r="I211" s="113"/>
      <c r="J211" s="115"/>
      <c r="K211" s="115"/>
      <c r="L211" s="115"/>
      <c r="M211" s="146"/>
      <c r="N211" s="146"/>
      <c r="O211" s="146"/>
      <c r="P211" s="146"/>
      <c r="Q211" s="115"/>
      <c r="R211" s="113"/>
      <c r="S211" s="113"/>
      <c r="T211" s="113"/>
      <c r="U211" s="124"/>
      <c r="V211" s="124"/>
      <c r="W211" s="124"/>
    </row>
    <row r="212">
      <c r="A212" s="94"/>
      <c r="B212" s="138"/>
      <c r="C212" s="120"/>
      <c r="D212" s="120"/>
      <c r="E212" s="120"/>
      <c r="F212" s="113"/>
      <c r="G212" s="114"/>
      <c r="H212" s="115"/>
      <c r="I212" s="113"/>
      <c r="J212" s="115"/>
      <c r="K212" s="115"/>
      <c r="L212" s="115"/>
      <c r="M212" s="146"/>
      <c r="N212" s="146"/>
      <c r="O212" s="146"/>
      <c r="P212" s="146"/>
      <c r="Q212" s="115"/>
      <c r="R212" s="113"/>
      <c r="S212" s="113"/>
      <c r="T212" s="113"/>
      <c r="U212" s="124"/>
      <c r="V212" s="124"/>
      <c r="W212" s="124"/>
    </row>
    <row r="213">
      <c r="A213" s="94"/>
      <c r="B213" s="138"/>
      <c r="C213" s="120"/>
      <c r="D213" s="120"/>
      <c r="E213" s="120"/>
      <c r="F213" s="113"/>
      <c r="G213" s="114"/>
      <c r="H213" s="115"/>
      <c r="I213" s="113"/>
      <c r="J213" s="115"/>
      <c r="K213" s="115"/>
      <c r="L213" s="115"/>
      <c r="M213" s="146"/>
      <c r="N213" s="146"/>
      <c r="O213" s="146"/>
      <c r="P213" s="146"/>
      <c r="Q213" s="115"/>
      <c r="R213" s="113"/>
      <c r="S213" s="113"/>
      <c r="T213" s="113"/>
      <c r="U213" s="124"/>
      <c r="V213" s="124"/>
      <c r="W213" s="124"/>
    </row>
    <row r="214">
      <c r="A214" s="94"/>
      <c r="B214" s="138"/>
      <c r="C214" s="120"/>
      <c r="D214" s="120"/>
      <c r="E214" s="120"/>
      <c r="F214" s="113"/>
      <c r="G214" s="114"/>
      <c r="H214" s="115"/>
      <c r="I214" s="113"/>
      <c r="J214" s="115"/>
      <c r="K214" s="115"/>
      <c r="L214" s="115"/>
      <c r="M214" s="146"/>
      <c r="N214" s="146"/>
      <c r="O214" s="146"/>
      <c r="P214" s="146"/>
      <c r="Q214" s="115"/>
      <c r="R214" s="113"/>
      <c r="S214" s="113"/>
      <c r="T214" s="113"/>
      <c r="U214" s="124"/>
      <c r="V214" s="124"/>
      <c r="W214" s="124"/>
    </row>
    <row r="215">
      <c r="A215" s="94"/>
      <c r="B215" s="138"/>
      <c r="C215" s="120"/>
      <c r="D215" s="120"/>
      <c r="E215" s="120"/>
      <c r="F215" s="113"/>
      <c r="G215" s="114"/>
      <c r="H215" s="115"/>
      <c r="I215" s="113"/>
      <c r="J215" s="115"/>
      <c r="K215" s="115"/>
      <c r="L215" s="115"/>
      <c r="M215" s="146"/>
      <c r="N215" s="146"/>
      <c r="O215" s="146"/>
      <c r="P215" s="146"/>
      <c r="Q215" s="115"/>
      <c r="R215" s="113"/>
      <c r="S215" s="113"/>
      <c r="T215" s="113"/>
      <c r="U215" s="124"/>
      <c r="V215" s="124"/>
      <c r="W215" s="124"/>
    </row>
    <row r="216">
      <c r="A216" s="94"/>
      <c r="B216" s="138"/>
      <c r="C216" s="120"/>
      <c r="D216" s="120"/>
      <c r="E216" s="120"/>
      <c r="F216" s="113"/>
      <c r="G216" s="114"/>
      <c r="H216" s="115"/>
      <c r="I216" s="113"/>
      <c r="J216" s="115"/>
      <c r="K216" s="115"/>
      <c r="L216" s="115"/>
      <c r="M216" s="146"/>
      <c r="N216" s="146"/>
      <c r="O216" s="146"/>
      <c r="P216" s="146"/>
      <c r="Q216" s="115"/>
      <c r="R216" s="113"/>
      <c r="S216" s="113"/>
      <c r="T216" s="113"/>
      <c r="U216" s="124"/>
      <c r="V216" s="124"/>
      <c r="W216" s="124"/>
    </row>
    <row r="217">
      <c r="A217" s="94"/>
      <c r="B217" s="138"/>
      <c r="C217" s="120"/>
      <c r="D217" s="120"/>
      <c r="E217" s="120"/>
      <c r="F217" s="113"/>
      <c r="G217" s="114"/>
      <c r="H217" s="115"/>
      <c r="I217" s="113"/>
      <c r="J217" s="115"/>
      <c r="K217" s="115"/>
      <c r="L217" s="115"/>
      <c r="M217" s="146"/>
      <c r="N217" s="146"/>
      <c r="O217" s="146"/>
      <c r="P217" s="146"/>
      <c r="Q217" s="115"/>
      <c r="R217" s="113"/>
      <c r="S217" s="113"/>
      <c r="T217" s="113"/>
      <c r="U217" s="124"/>
      <c r="V217" s="124"/>
      <c r="W217" s="124"/>
    </row>
    <row r="218">
      <c r="A218" s="94"/>
      <c r="B218" s="138"/>
      <c r="C218" s="120"/>
      <c r="D218" s="120"/>
      <c r="E218" s="120"/>
      <c r="F218" s="113"/>
      <c r="G218" s="114"/>
      <c r="H218" s="115"/>
      <c r="I218" s="113"/>
      <c r="J218" s="115"/>
      <c r="K218" s="115"/>
      <c r="L218" s="115"/>
      <c r="M218" s="146"/>
      <c r="N218" s="146"/>
      <c r="O218" s="146"/>
      <c r="P218" s="146"/>
      <c r="Q218" s="115"/>
      <c r="R218" s="113"/>
      <c r="S218" s="113"/>
      <c r="T218" s="113"/>
      <c r="U218" s="124"/>
      <c r="V218" s="124"/>
      <c r="W218" s="124"/>
    </row>
    <row r="219">
      <c r="A219" s="94"/>
      <c r="B219" s="138"/>
      <c r="C219" s="120"/>
      <c r="D219" s="120"/>
      <c r="E219" s="120"/>
      <c r="F219" s="113"/>
      <c r="G219" s="114"/>
      <c r="H219" s="115"/>
      <c r="I219" s="113"/>
      <c r="J219" s="115"/>
      <c r="K219" s="115"/>
      <c r="L219" s="115"/>
      <c r="M219" s="146"/>
      <c r="N219" s="146"/>
      <c r="O219" s="146"/>
      <c r="P219" s="146"/>
      <c r="Q219" s="115"/>
      <c r="R219" s="113"/>
      <c r="S219" s="113"/>
      <c r="T219" s="113"/>
      <c r="U219" s="124"/>
      <c r="V219" s="124"/>
      <c r="W219" s="124"/>
    </row>
    <row r="220">
      <c r="A220" s="94"/>
      <c r="B220" s="138"/>
      <c r="C220" s="120"/>
      <c r="D220" s="120"/>
      <c r="E220" s="120"/>
      <c r="F220" s="113"/>
      <c r="G220" s="114"/>
      <c r="H220" s="115"/>
      <c r="I220" s="113"/>
      <c r="J220" s="115"/>
      <c r="K220" s="115"/>
      <c r="L220" s="115"/>
      <c r="M220" s="146"/>
      <c r="N220" s="146"/>
      <c r="O220" s="146"/>
      <c r="P220" s="146"/>
      <c r="Q220" s="115"/>
      <c r="R220" s="113"/>
      <c r="S220" s="113"/>
      <c r="T220" s="113"/>
      <c r="U220" s="124"/>
      <c r="V220" s="124"/>
      <c r="W220" s="124"/>
    </row>
    <row r="221">
      <c r="A221" s="94"/>
      <c r="B221" s="138"/>
      <c r="C221" s="120"/>
      <c r="D221" s="120"/>
      <c r="E221" s="120"/>
      <c r="F221" s="113"/>
      <c r="G221" s="114"/>
      <c r="H221" s="115"/>
      <c r="I221" s="113"/>
      <c r="J221" s="115"/>
      <c r="K221" s="115"/>
      <c r="L221" s="115"/>
      <c r="M221" s="146"/>
      <c r="N221" s="146"/>
      <c r="O221" s="146"/>
      <c r="P221" s="146"/>
      <c r="Q221" s="115"/>
      <c r="R221" s="113"/>
      <c r="S221" s="113"/>
      <c r="T221" s="113"/>
      <c r="U221" s="124"/>
      <c r="V221" s="124"/>
      <c r="W221" s="124"/>
    </row>
    <row r="222">
      <c r="A222" s="94"/>
      <c r="B222" s="138"/>
      <c r="C222" s="120"/>
      <c r="D222" s="120"/>
      <c r="E222" s="120"/>
      <c r="F222" s="113"/>
      <c r="G222" s="114"/>
      <c r="H222" s="115"/>
      <c r="I222" s="113"/>
      <c r="J222" s="115"/>
      <c r="K222" s="115"/>
      <c r="L222" s="115"/>
      <c r="M222" s="146"/>
      <c r="N222" s="146"/>
      <c r="O222" s="146"/>
      <c r="P222" s="146"/>
      <c r="Q222" s="115"/>
      <c r="R222" s="113"/>
      <c r="S222" s="113"/>
      <c r="T222" s="113"/>
      <c r="U222" s="124"/>
      <c r="V222" s="124"/>
      <c r="W222" s="124"/>
    </row>
    <row r="223">
      <c r="A223" s="94"/>
      <c r="B223" s="138"/>
      <c r="C223" s="120"/>
      <c r="D223" s="120"/>
      <c r="E223" s="120"/>
      <c r="F223" s="113"/>
      <c r="G223" s="114"/>
      <c r="H223" s="115"/>
      <c r="I223" s="113"/>
      <c r="J223" s="115"/>
      <c r="K223" s="115"/>
      <c r="L223" s="115"/>
      <c r="M223" s="146"/>
      <c r="N223" s="146"/>
      <c r="O223" s="146"/>
      <c r="P223" s="146"/>
      <c r="Q223" s="115"/>
      <c r="R223" s="113"/>
      <c r="S223" s="113"/>
      <c r="T223" s="113"/>
      <c r="U223" s="124"/>
      <c r="V223" s="124"/>
      <c r="W223" s="124"/>
    </row>
    <row r="224">
      <c r="A224" s="94"/>
      <c r="B224" s="138"/>
      <c r="C224" s="120"/>
      <c r="D224" s="120"/>
      <c r="E224" s="120"/>
      <c r="F224" s="113"/>
      <c r="G224" s="114"/>
      <c r="H224" s="115"/>
      <c r="I224" s="113"/>
      <c r="J224" s="115"/>
      <c r="K224" s="115"/>
      <c r="L224" s="115"/>
      <c r="M224" s="146"/>
      <c r="N224" s="146"/>
      <c r="O224" s="146"/>
      <c r="P224" s="146"/>
      <c r="Q224" s="115"/>
      <c r="R224" s="113"/>
      <c r="S224" s="113"/>
      <c r="T224" s="113"/>
      <c r="U224" s="124"/>
      <c r="V224" s="124"/>
      <c r="W224" s="124"/>
    </row>
    <row r="225">
      <c r="A225" s="94"/>
      <c r="B225" s="138"/>
      <c r="C225" s="120"/>
      <c r="D225" s="120"/>
      <c r="E225" s="120"/>
      <c r="F225" s="113"/>
      <c r="G225" s="114"/>
      <c r="H225" s="115"/>
      <c r="I225" s="113"/>
      <c r="J225" s="115"/>
      <c r="K225" s="115"/>
      <c r="L225" s="115"/>
      <c r="M225" s="146"/>
      <c r="N225" s="146"/>
      <c r="O225" s="146"/>
      <c r="P225" s="146"/>
      <c r="Q225" s="115"/>
      <c r="R225" s="113"/>
      <c r="S225" s="113"/>
      <c r="T225" s="113"/>
      <c r="U225" s="124"/>
      <c r="V225" s="124"/>
      <c r="W225" s="124"/>
    </row>
    <row r="226">
      <c r="A226" s="94"/>
      <c r="B226" s="138"/>
      <c r="C226" s="120"/>
      <c r="D226" s="120"/>
      <c r="E226" s="120"/>
      <c r="F226" s="113"/>
      <c r="G226" s="114"/>
      <c r="H226" s="115"/>
      <c r="I226" s="113"/>
      <c r="J226" s="115"/>
      <c r="K226" s="115"/>
      <c r="L226" s="115"/>
      <c r="M226" s="146"/>
      <c r="N226" s="146"/>
      <c r="O226" s="146"/>
      <c r="P226" s="146"/>
      <c r="Q226" s="115"/>
      <c r="R226" s="113"/>
      <c r="S226" s="113"/>
      <c r="T226" s="113"/>
      <c r="U226" s="124"/>
      <c r="V226" s="124"/>
      <c r="W226" s="124"/>
    </row>
    <row r="227">
      <c r="A227" s="94"/>
      <c r="B227" s="138"/>
      <c r="C227" s="120"/>
      <c r="D227" s="120"/>
      <c r="E227" s="120"/>
      <c r="F227" s="113"/>
      <c r="G227" s="114"/>
      <c r="H227" s="115"/>
      <c r="I227" s="113"/>
      <c r="J227" s="115"/>
      <c r="K227" s="115"/>
      <c r="L227" s="115"/>
      <c r="M227" s="146"/>
      <c r="N227" s="146"/>
      <c r="O227" s="146"/>
      <c r="P227" s="146"/>
      <c r="Q227" s="115"/>
      <c r="R227" s="113"/>
      <c r="S227" s="113"/>
      <c r="T227" s="113"/>
      <c r="U227" s="124"/>
      <c r="V227" s="124"/>
      <c r="W227" s="124"/>
    </row>
    <row r="228">
      <c r="A228" s="94"/>
      <c r="B228" s="138"/>
      <c r="C228" s="120"/>
      <c r="D228" s="120"/>
      <c r="E228" s="120"/>
      <c r="F228" s="113"/>
      <c r="G228" s="114"/>
      <c r="H228" s="115"/>
      <c r="I228" s="113"/>
      <c r="J228" s="115"/>
      <c r="K228" s="115"/>
      <c r="L228" s="115"/>
      <c r="M228" s="146"/>
      <c r="N228" s="146"/>
      <c r="O228" s="146"/>
      <c r="P228" s="146"/>
      <c r="Q228" s="115"/>
      <c r="R228" s="113"/>
      <c r="S228" s="113"/>
      <c r="T228" s="113"/>
      <c r="U228" s="124"/>
      <c r="V228" s="124"/>
      <c r="W228" s="124"/>
    </row>
    <row r="229">
      <c r="A229" s="94"/>
      <c r="B229" s="138"/>
      <c r="C229" s="120"/>
      <c r="D229" s="120"/>
      <c r="E229" s="120"/>
      <c r="F229" s="113"/>
      <c r="G229" s="114"/>
      <c r="H229" s="115"/>
      <c r="I229" s="113"/>
      <c r="J229" s="115"/>
      <c r="K229" s="115"/>
      <c r="L229" s="115"/>
      <c r="M229" s="146"/>
      <c r="N229" s="146"/>
      <c r="O229" s="146"/>
      <c r="P229" s="146"/>
      <c r="Q229" s="115"/>
      <c r="R229" s="113"/>
      <c r="S229" s="113"/>
      <c r="T229" s="113"/>
      <c r="U229" s="124"/>
      <c r="V229" s="124"/>
      <c r="W229" s="124"/>
    </row>
    <row r="230">
      <c r="A230" s="94"/>
      <c r="B230" s="138"/>
      <c r="C230" s="120"/>
      <c r="D230" s="120"/>
      <c r="E230" s="120"/>
      <c r="F230" s="113"/>
      <c r="G230" s="114"/>
      <c r="H230" s="115"/>
      <c r="I230" s="113"/>
      <c r="J230" s="115"/>
      <c r="K230" s="115"/>
      <c r="L230" s="115"/>
      <c r="M230" s="146"/>
      <c r="N230" s="146"/>
      <c r="O230" s="146"/>
      <c r="P230" s="146"/>
      <c r="Q230" s="115"/>
      <c r="R230" s="113"/>
      <c r="S230" s="113"/>
      <c r="T230" s="113"/>
      <c r="U230" s="124"/>
      <c r="V230" s="124"/>
      <c r="W230" s="124"/>
    </row>
    <row r="231">
      <c r="A231" s="94"/>
      <c r="B231" s="138"/>
      <c r="C231" s="120"/>
      <c r="D231" s="120"/>
      <c r="E231" s="120"/>
      <c r="F231" s="113"/>
      <c r="G231" s="114"/>
      <c r="H231" s="115"/>
      <c r="I231" s="113"/>
      <c r="J231" s="115"/>
      <c r="K231" s="115"/>
      <c r="L231" s="115"/>
      <c r="M231" s="146"/>
      <c r="N231" s="146"/>
      <c r="O231" s="146"/>
      <c r="P231" s="146"/>
      <c r="Q231" s="115"/>
      <c r="R231" s="113"/>
      <c r="S231" s="113"/>
      <c r="T231" s="113"/>
      <c r="U231" s="124"/>
      <c r="V231" s="124"/>
      <c r="W231" s="124"/>
    </row>
    <row r="232">
      <c r="A232" s="94"/>
      <c r="B232" s="138"/>
      <c r="C232" s="120"/>
      <c r="D232" s="120"/>
      <c r="E232" s="120"/>
      <c r="F232" s="113"/>
      <c r="G232" s="114"/>
      <c r="H232" s="115"/>
      <c r="I232" s="113"/>
      <c r="J232" s="115"/>
      <c r="K232" s="115"/>
      <c r="L232" s="115"/>
      <c r="M232" s="146"/>
      <c r="N232" s="146"/>
      <c r="O232" s="146"/>
      <c r="P232" s="146"/>
      <c r="Q232" s="115"/>
      <c r="R232" s="113"/>
      <c r="S232" s="113"/>
      <c r="T232" s="113"/>
      <c r="U232" s="124"/>
      <c r="V232" s="124"/>
      <c r="W232" s="124"/>
    </row>
    <row r="233">
      <c r="A233" s="94"/>
      <c r="B233" s="138"/>
      <c r="C233" s="120"/>
      <c r="D233" s="120"/>
      <c r="E233" s="120"/>
      <c r="F233" s="113"/>
      <c r="G233" s="114"/>
      <c r="H233" s="115"/>
      <c r="I233" s="113"/>
      <c r="J233" s="115"/>
      <c r="K233" s="115"/>
      <c r="L233" s="115"/>
      <c r="M233" s="146"/>
      <c r="N233" s="146"/>
      <c r="O233" s="146"/>
      <c r="P233" s="146"/>
      <c r="Q233" s="115"/>
      <c r="R233" s="113"/>
      <c r="S233" s="113"/>
      <c r="T233" s="113"/>
      <c r="U233" s="124"/>
      <c r="V233" s="124"/>
      <c r="W233" s="124"/>
    </row>
    <row r="234">
      <c r="A234" s="94"/>
      <c r="B234" s="138"/>
      <c r="C234" s="120"/>
      <c r="D234" s="120"/>
      <c r="E234" s="120"/>
      <c r="F234" s="113"/>
      <c r="G234" s="114"/>
      <c r="H234" s="115"/>
      <c r="I234" s="113"/>
      <c r="J234" s="115"/>
      <c r="K234" s="115"/>
      <c r="L234" s="115"/>
      <c r="M234" s="146"/>
      <c r="N234" s="146"/>
      <c r="O234" s="146"/>
      <c r="P234" s="146"/>
      <c r="Q234" s="115"/>
      <c r="R234" s="113"/>
      <c r="S234" s="113"/>
      <c r="T234" s="113"/>
      <c r="U234" s="124"/>
      <c r="V234" s="124"/>
      <c r="W234" s="124"/>
    </row>
    <row r="235">
      <c r="A235" s="94"/>
      <c r="B235" s="138"/>
      <c r="C235" s="120"/>
      <c r="D235" s="120"/>
      <c r="E235" s="120"/>
      <c r="F235" s="113"/>
      <c r="G235" s="114"/>
      <c r="H235" s="115"/>
      <c r="I235" s="113"/>
      <c r="J235" s="115"/>
      <c r="K235" s="115"/>
      <c r="L235" s="115"/>
      <c r="M235" s="146"/>
      <c r="N235" s="146"/>
      <c r="O235" s="146"/>
      <c r="P235" s="146"/>
      <c r="Q235" s="115"/>
      <c r="R235" s="113"/>
      <c r="S235" s="113"/>
      <c r="T235" s="113"/>
      <c r="U235" s="124"/>
      <c r="V235" s="124"/>
      <c r="W235" s="124"/>
    </row>
    <row r="236">
      <c r="A236" s="94"/>
      <c r="B236" s="138"/>
      <c r="C236" s="120"/>
      <c r="D236" s="120"/>
      <c r="E236" s="120"/>
      <c r="F236" s="113"/>
      <c r="G236" s="114"/>
      <c r="H236" s="115"/>
      <c r="I236" s="113"/>
      <c r="J236" s="115"/>
      <c r="K236" s="115"/>
      <c r="L236" s="115"/>
      <c r="M236" s="146"/>
      <c r="N236" s="146"/>
      <c r="O236" s="146"/>
      <c r="P236" s="146"/>
      <c r="Q236" s="115"/>
      <c r="R236" s="113"/>
      <c r="S236" s="113"/>
      <c r="T236" s="113"/>
      <c r="U236" s="124"/>
      <c r="V236" s="124"/>
      <c r="W236" s="124"/>
    </row>
    <row r="237">
      <c r="A237" s="94"/>
      <c r="B237" s="138"/>
      <c r="C237" s="120"/>
      <c r="D237" s="120"/>
      <c r="E237" s="120"/>
      <c r="F237" s="113"/>
      <c r="G237" s="114"/>
      <c r="H237" s="115"/>
      <c r="I237" s="113"/>
      <c r="J237" s="115"/>
      <c r="K237" s="115"/>
      <c r="L237" s="115"/>
      <c r="M237" s="146"/>
      <c r="N237" s="146"/>
      <c r="O237" s="146"/>
      <c r="P237" s="146"/>
      <c r="Q237" s="115"/>
      <c r="R237" s="113"/>
      <c r="S237" s="113"/>
      <c r="T237" s="113"/>
      <c r="U237" s="124"/>
      <c r="V237" s="124"/>
      <c r="W237" s="124"/>
    </row>
    <row r="238">
      <c r="A238" s="94"/>
      <c r="B238" s="138"/>
      <c r="C238" s="120"/>
      <c r="D238" s="120"/>
      <c r="E238" s="120"/>
      <c r="F238" s="113"/>
      <c r="G238" s="114"/>
      <c r="H238" s="115"/>
      <c r="I238" s="113"/>
      <c r="J238" s="115"/>
      <c r="K238" s="115"/>
      <c r="L238" s="115"/>
      <c r="M238" s="146"/>
      <c r="N238" s="146"/>
      <c r="O238" s="146"/>
      <c r="P238" s="146"/>
      <c r="Q238" s="115"/>
      <c r="R238" s="113"/>
      <c r="S238" s="113"/>
      <c r="T238" s="113"/>
      <c r="U238" s="124"/>
      <c r="V238" s="124"/>
      <c r="W238" s="124"/>
    </row>
    <row r="239">
      <c r="A239" s="94"/>
      <c r="B239" s="138"/>
      <c r="C239" s="120"/>
      <c r="D239" s="120"/>
      <c r="E239" s="120"/>
      <c r="F239" s="91"/>
      <c r="G239" s="88"/>
      <c r="H239" s="94"/>
      <c r="I239" s="91"/>
      <c r="J239" s="94"/>
      <c r="K239" s="94"/>
      <c r="L239" s="94"/>
      <c r="M239" s="147"/>
      <c r="N239" s="147"/>
      <c r="O239" s="147"/>
      <c r="P239" s="147"/>
      <c r="Q239" s="94"/>
      <c r="R239" s="91"/>
      <c r="S239" s="148"/>
      <c r="T239" s="91"/>
      <c r="U239" s="101"/>
      <c r="V239" s="101"/>
      <c r="W239" s="101"/>
    </row>
    <row r="240">
      <c r="A240" s="94"/>
      <c r="B240" s="138"/>
      <c r="C240" s="120"/>
      <c r="D240" s="120"/>
      <c r="E240" s="120"/>
      <c r="F240" s="91"/>
      <c r="G240" s="88"/>
      <c r="H240" s="94"/>
      <c r="I240" s="91"/>
      <c r="J240" s="94"/>
      <c r="K240" s="94"/>
      <c r="L240" s="94"/>
      <c r="M240" s="147"/>
      <c r="N240" s="147"/>
      <c r="O240" s="147"/>
      <c r="P240" s="147"/>
      <c r="Q240" s="94"/>
      <c r="R240" s="91"/>
      <c r="S240" s="148"/>
      <c r="T240" s="91"/>
      <c r="U240" s="101"/>
      <c r="V240" s="101"/>
      <c r="W240" s="101"/>
    </row>
    <row r="241">
      <c r="A241" s="94"/>
      <c r="B241" s="138"/>
      <c r="C241" s="120"/>
      <c r="D241" s="120"/>
      <c r="E241" s="120"/>
      <c r="F241" s="91"/>
      <c r="G241" s="88"/>
      <c r="H241" s="94"/>
      <c r="I241" s="91"/>
      <c r="J241" s="94"/>
      <c r="K241" s="94"/>
      <c r="L241" s="94"/>
      <c r="M241" s="147"/>
      <c r="N241" s="147"/>
      <c r="O241" s="147"/>
      <c r="P241" s="147"/>
      <c r="Q241" s="94"/>
      <c r="R241" s="91"/>
      <c r="S241" s="148"/>
      <c r="T241" s="91"/>
      <c r="U241" s="101"/>
      <c r="V241" s="101"/>
      <c r="W241" s="101"/>
    </row>
    <row r="242">
      <c r="A242" s="94"/>
      <c r="B242" s="138"/>
      <c r="C242" s="120"/>
      <c r="D242" s="120"/>
      <c r="E242" s="120"/>
      <c r="F242" s="91"/>
      <c r="G242" s="88"/>
      <c r="H242" s="94"/>
      <c r="I242" s="91"/>
      <c r="J242" s="94"/>
      <c r="K242" s="94"/>
      <c r="L242" s="94"/>
      <c r="M242" s="147"/>
      <c r="N242" s="147"/>
      <c r="O242" s="147"/>
      <c r="P242" s="147"/>
      <c r="Q242" s="94"/>
      <c r="R242" s="91"/>
      <c r="S242" s="148"/>
      <c r="T242" s="91"/>
      <c r="U242" s="101"/>
      <c r="V242" s="101"/>
      <c r="W242" s="101"/>
    </row>
    <row r="243">
      <c r="A243" s="94"/>
      <c r="B243" s="138"/>
      <c r="C243" s="120"/>
      <c r="D243" s="120"/>
      <c r="E243" s="120"/>
      <c r="F243" s="91"/>
      <c r="G243" s="88"/>
      <c r="H243" s="94"/>
      <c r="I243" s="91"/>
      <c r="J243" s="94"/>
      <c r="K243" s="94"/>
      <c r="L243" s="94"/>
      <c r="M243" s="147"/>
      <c r="N243" s="147"/>
      <c r="O243" s="147"/>
      <c r="P243" s="147"/>
      <c r="Q243" s="94"/>
      <c r="R243" s="91"/>
      <c r="S243" s="148"/>
      <c r="T243" s="91"/>
      <c r="U243" s="101"/>
      <c r="V243" s="101"/>
      <c r="W243" s="101"/>
    </row>
    <row r="244">
      <c r="A244" s="94"/>
      <c r="B244" s="138"/>
      <c r="C244" s="120"/>
      <c r="D244" s="120"/>
      <c r="E244" s="120"/>
      <c r="F244" s="91"/>
      <c r="G244" s="88"/>
      <c r="H244" s="94"/>
      <c r="I244" s="91"/>
      <c r="J244" s="94"/>
      <c r="K244" s="94"/>
      <c r="L244" s="94"/>
      <c r="M244" s="147"/>
      <c r="N244" s="147"/>
      <c r="O244" s="147"/>
      <c r="P244" s="147"/>
      <c r="Q244" s="94"/>
      <c r="R244" s="91"/>
      <c r="S244" s="148"/>
      <c r="T244" s="91"/>
      <c r="U244" s="101"/>
      <c r="V244" s="101"/>
      <c r="W244" s="101"/>
    </row>
    <row r="245">
      <c r="A245" s="94"/>
      <c r="B245" s="138"/>
      <c r="C245" s="120"/>
      <c r="D245" s="120"/>
      <c r="E245" s="120"/>
      <c r="F245" s="91"/>
      <c r="G245" s="88"/>
      <c r="H245" s="94"/>
      <c r="I245" s="91"/>
      <c r="J245" s="94"/>
      <c r="K245" s="94"/>
      <c r="L245" s="94"/>
      <c r="M245" s="147"/>
      <c r="N245" s="147"/>
      <c r="O245" s="147"/>
      <c r="P245" s="147"/>
      <c r="Q245" s="94"/>
      <c r="R245" s="91"/>
      <c r="S245" s="148"/>
      <c r="T245" s="91"/>
      <c r="U245" s="101"/>
      <c r="V245" s="101"/>
      <c r="W245" s="101"/>
    </row>
    <row r="246">
      <c r="A246" s="94"/>
      <c r="B246" s="138"/>
      <c r="C246" s="120"/>
      <c r="D246" s="120"/>
      <c r="E246" s="120"/>
      <c r="F246" s="91"/>
      <c r="G246" s="88"/>
      <c r="H246" s="94"/>
      <c r="I246" s="91"/>
      <c r="J246" s="94"/>
      <c r="K246" s="94"/>
      <c r="L246" s="94"/>
      <c r="M246" s="147"/>
      <c r="N246" s="147"/>
      <c r="O246" s="147"/>
      <c r="P246" s="147"/>
      <c r="Q246" s="94"/>
      <c r="R246" s="91"/>
      <c r="S246" s="148"/>
      <c r="T246" s="91"/>
      <c r="U246" s="101"/>
      <c r="V246" s="101"/>
      <c r="W246" s="101"/>
    </row>
    <row r="247">
      <c r="A247" s="94"/>
      <c r="B247" s="138"/>
      <c r="C247" s="120"/>
      <c r="D247" s="120"/>
      <c r="E247" s="120"/>
      <c r="F247" s="91"/>
      <c r="G247" s="88"/>
      <c r="H247" s="94"/>
      <c r="I247" s="91"/>
      <c r="J247" s="94"/>
      <c r="K247" s="94"/>
      <c r="L247" s="94"/>
      <c r="M247" s="147"/>
      <c r="N247" s="147"/>
      <c r="O247" s="147"/>
      <c r="P247" s="147"/>
      <c r="Q247" s="94"/>
      <c r="R247" s="91"/>
      <c r="S247" s="148"/>
      <c r="T247" s="91"/>
      <c r="U247" s="101"/>
      <c r="V247" s="101"/>
      <c r="W247" s="101"/>
    </row>
    <row r="248">
      <c r="A248" s="94"/>
      <c r="B248" s="138"/>
      <c r="C248" s="120"/>
      <c r="D248" s="120"/>
      <c r="E248" s="120"/>
      <c r="F248" s="91"/>
      <c r="G248" s="88"/>
      <c r="H248" s="94"/>
      <c r="I248" s="91"/>
      <c r="J248" s="94"/>
      <c r="K248" s="94"/>
      <c r="L248" s="94"/>
      <c r="M248" s="147"/>
      <c r="N248" s="147"/>
      <c r="O248" s="147"/>
      <c r="P248" s="147"/>
      <c r="Q248" s="94"/>
      <c r="R248" s="91"/>
      <c r="S248" s="148"/>
      <c r="T248" s="91"/>
      <c r="U248" s="101"/>
      <c r="V248" s="101"/>
      <c r="W248" s="101"/>
    </row>
    <row r="249">
      <c r="A249" s="94"/>
      <c r="B249" s="138"/>
      <c r="C249" s="120"/>
      <c r="D249" s="120"/>
      <c r="E249" s="120"/>
      <c r="F249" s="91"/>
      <c r="G249" s="88"/>
      <c r="H249" s="94"/>
      <c r="I249" s="91"/>
      <c r="J249" s="94"/>
      <c r="K249" s="94"/>
      <c r="L249" s="94"/>
      <c r="M249" s="147"/>
      <c r="N249" s="147"/>
      <c r="O249" s="147"/>
      <c r="P249" s="147"/>
      <c r="Q249" s="94"/>
      <c r="R249" s="91"/>
      <c r="S249" s="148"/>
      <c r="T249" s="91"/>
      <c r="U249" s="101"/>
      <c r="V249" s="101"/>
      <c r="W249" s="101"/>
    </row>
    <row r="250">
      <c r="A250" s="94"/>
      <c r="B250" s="138"/>
      <c r="C250" s="120"/>
      <c r="D250" s="120"/>
      <c r="E250" s="120"/>
      <c r="F250" s="91"/>
      <c r="G250" s="88"/>
      <c r="H250" s="94"/>
      <c r="I250" s="91"/>
      <c r="J250" s="94"/>
      <c r="K250" s="94"/>
      <c r="L250" s="94"/>
      <c r="M250" s="147"/>
      <c r="N250" s="147"/>
      <c r="O250" s="147"/>
      <c r="P250" s="147"/>
      <c r="Q250" s="94"/>
      <c r="R250" s="91"/>
      <c r="S250" s="148"/>
      <c r="T250" s="91"/>
      <c r="U250" s="101"/>
      <c r="V250" s="101"/>
      <c r="W250" s="101"/>
    </row>
    <row r="251">
      <c r="A251" s="94"/>
      <c r="B251" s="138"/>
      <c r="C251" s="120"/>
      <c r="D251" s="120"/>
      <c r="E251" s="120"/>
      <c r="F251" s="91"/>
      <c r="G251" s="88"/>
      <c r="H251" s="94"/>
      <c r="I251" s="91"/>
      <c r="J251" s="94"/>
      <c r="K251" s="94"/>
      <c r="L251" s="94"/>
      <c r="M251" s="147"/>
      <c r="N251" s="147"/>
      <c r="O251" s="147"/>
      <c r="P251" s="147"/>
      <c r="Q251" s="94"/>
      <c r="R251" s="91"/>
      <c r="S251" s="148"/>
      <c r="T251" s="91"/>
      <c r="U251" s="101"/>
      <c r="V251" s="101"/>
      <c r="W251" s="101"/>
    </row>
    <row r="252">
      <c r="A252" s="94"/>
      <c r="B252" s="138"/>
      <c r="C252" s="120"/>
      <c r="D252" s="120"/>
      <c r="E252" s="120"/>
      <c r="F252" s="91"/>
      <c r="G252" s="88"/>
      <c r="H252" s="94"/>
      <c r="I252" s="91"/>
      <c r="J252" s="94"/>
      <c r="K252" s="94"/>
      <c r="L252" s="94"/>
      <c r="M252" s="147"/>
      <c r="N252" s="147"/>
      <c r="O252" s="147"/>
      <c r="P252" s="147"/>
      <c r="Q252" s="94"/>
      <c r="R252" s="91"/>
      <c r="S252" s="148"/>
      <c r="T252" s="91"/>
      <c r="U252" s="101"/>
      <c r="V252" s="101"/>
      <c r="W252" s="101"/>
    </row>
    <row r="253">
      <c r="A253" s="94"/>
      <c r="B253" s="138"/>
      <c r="C253" s="120"/>
      <c r="D253" s="120"/>
      <c r="E253" s="120"/>
      <c r="F253" s="91"/>
      <c r="G253" s="88"/>
      <c r="H253" s="94"/>
      <c r="I253" s="91"/>
      <c r="J253" s="94"/>
      <c r="K253" s="94"/>
      <c r="L253" s="94"/>
      <c r="M253" s="147"/>
      <c r="N253" s="147"/>
      <c r="O253" s="147"/>
      <c r="P253" s="147"/>
      <c r="Q253" s="94"/>
      <c r="R253" s="91"/>
      <c r="S253" s="148"/>
      <c r="T253" s="91"/>
      <c r="U253" s="101"/>
      <c r="V253" s="101"/>
      <c r="W253" s="101"/>
    </row>
    <row r="254">
      <c r="A254" s="94"/>
      <c r="B254" s="138"/>
      <c r="C254" s="120"/>
      <c r="D254" s="120"/>
      <c r="E254" s="120"/>
      <c r="F254" s="91"/>
      <c r="G254" s="88"/>
      <c r="H254" s="94"/>
      <c r="I254" s="91"/>
      <c r="J254" s="94"/>
      <c r="K254" s="94"/>
      <c r="L254" s="94"/>
      <c r="M254" s="147"/>
      <c r="N254" s="147"/>
      <c r="O254" s="147"/>
      <c r="P254" s="147"/>
      <c r="Q254" s="94"/>
      <c r="R254" s="91"/>
      <c r="S254" s="148"/>
      <c r="T254" s="91"/>
      <c r="U254" s="101"/>
      <c r="V254" s="101"/>
      <c r="W254" s="101"/>
    </row>
    <row r="255">
      <c r="A255" s="94"/>
      <c r="B255" s="138"/>
      <c r="C255" s="120"/>
      <c r="D255" s="120"/>
      <c r="E255" s="120"/>
      <c r="F255" s="91"/>
      <c r="G255" s="88"/>
      <c r="H255" s="94"/>
      <c r="I255" s="91"/>
      <c r="J255" s="94"/>
      <c r="K255" s="94"/>
      <c r="L255" s="94"/>
      <c r="M255" s="147"/>
      <c r="N255" s="147"/>
      <c r="O255" s="147"/>
      <c r="P255" s="147"/>
      <c r="Q255" s="94"/>
      <c r="R255" s="91"/>
      <c r="S255" s="148"/>
      <c r="T255" s="91"/>
      <c r="U255" s="101"/>
      <c r="V255" s="101"/>
      <c r="W255" s="101"/>
    </row>
    <row r="256">
      <c r="A256" s="94"/>
      <c r="B256" s="138"/>
      <c r="C256" s="120"/>
      <c r="D256" s="120"/>
      <c r="E256" s="120"/>
      <c r="F256" s="91"/>
      <c r="G256" s="88"/>
      <c r="H256" s="94"/>
      <c r="I256" s="91"/>
      <c r="J256" s="94"/>
      <c r="K256" s="94"/>
      <c r="L256" s="94"/>
      <c r="M256" s="147"/>
      <c r="N256" s="147"/>
      <c r="O256" s="147"/>
      <c r="P256" s="147"/>
      <c r="Q256" s="94"/>
      <c r="R256" s="91"/>
      <c r="S256" s="148"/>
      <c r="T256" s="91"/>
      <c r="U256" s="101"/>
      <c r="V256" s="101"/>
      <c r="W256" s="101"/>
    </row>
    <row r="257">
      <c r="A257" s="94"/>
      <c r="B257" s="138"/>
      <c r="C257" s="120"/>
      <c r="D257" s="120"/>
      <c r="E257" s="120"/>
      <c r="F257" s="91"/>
      <c r="G257" s="88"/>
      <c r="H257" s="94"/>
      <c r="I257" s="91"/>
      <c r="J257" s="94"/>
      <c r="K257" s="94"/>
      <c r="L257" s="94"/>
      <c r="M257" s="147"/>
      <c r="N257" s="147"/>
      <c r="O257" s="147"/>
      <c r="P257" s="147"/>
      <c r="Q257" s="94"/>
      <c r="R257" s="91"/>
      <c r="S257" s="148"/>
      <c r="T257" s="91"/>
      <c r="U257" s="101"/>
      <c r="V257" s="101"/>
      <c r="W257" s="101"/>
    </row>
    <row r="258">
      <c r="A258" s="94"/>
      <c r="B258" s="138"/>
      <c r="C258" s="120"/>
      <c r="D258" s="120"/>
      <c r="E258" s="120"/>
      <c r="F258" s="91"/>
      <c r="G258" s="88"/>
      <c r="H258" s="94"/>
      <c r="I258" s="91"/>
      <c r="J258" s="94"/>
      <c r="K258" s="94"/>
      <c r="L258" s="94"/>
      <c r="M258" s="147"/>
      <c r="N258" s="147"/>
      <c r="O258" s="147"/>
      <c r="P258" s="147"/>
      <c r="Q258" s="94"/>
      <c r="R258" s="91"/>
      <c r="S258" s="148"/>
      <c r="T258" s="91"/>
      <c r="U258" s="101"/>
      <c r="V258" s="101"/>
      <c r="W258" s="101"/>
    </row>
    <row r="259">
      <c r="A259" s="94"/>
      <c r="B259" s="138"/>
      <c r="C259" s="120"/>
      <c r="D259" s="120"/>
      <c r="E259" s="120"/>
      <c r="F259" s="91"/>
      <c r="G259" s="88"/>
      <c r="H259" s="94"/>
      <c r="I259" s="91"/>
      <c r="J259" s="94"/>
      <c r="K259" s="94"/>
      <c r="L259" s="94"/>
      <c r="M259" s="147"/>
      <c r="N259" s="147"/>
      <c r="O259" s="147"/>
      <c r="P259" s="147"/>
      <c r="Q259" s="94"/>
      <c r="R259" s="91"/>
      <c r="S259" s="148"/>
      <c r="T259" s="91"/>
      <c r="U259" s="101"/>
      <c r="V259" s="101"/>
      <c r="W259" s="101"/>
    </row>
    <row r="260">
      <c r="A260" s="94"/>
      <c r="B260" s="138"/>
      <c r="C260" s="120"/>
      <c r="D260" s="120"/>
      <c r="E260" s="120"/>
      <c r="F260" s="91"/>
      <c r="G260" s="88"/>
      <c r="H260" s="94"/>
      <c r="I260" s="91"/>
      <c r="J260" s="94"/>
      <c r="K260" s="94"/>
      <c r="L260" s="94"/>
      <c r="M260" s="147"/>
      <c r="N260" s="147"/>
      <c r="O260" s="147"/>
      <c r="P260" s="147"/>
      <c r="Q260" s="94"/>
      <c r="R260" s="91"/>
      <c r="S260" s="148"/>
      <c r="T260" s="91"/>
      <c r="U260" s="101"/>
      <c r="V260" s="101"/>
      <c r="W260" s="101"/>
    </row>
    <row r="261">
      <c r="A261" s="94"/>
      <c r="B261" s="138"/>
      <c r="C261" s="120"/>
      <c r="D261" s="120"/>
      <c r="E261" s="120"/>
      <c r="F261" s="91"/>
      <c r="G261" s="88"/>
      <c r="H261" s="94"/>
      <c r="I261" s="91"/>
      <c r="J261" s="94"/>
      <c r="K261" s="94"/>
      <c r="L261" s="94"/>
      <c r="M261" s="147"/>
      <c r="N261" s="147"/>
      <c r="O261" s="147"/>
      <c r="P261" s="147"/>
      <c r="Q261" s="94"/>
      <c r="R261" s="91"/>
      <c r="S261" s="148"/>
      <c r="T261" s="91"/>
      <c r="U261" s="101"/>
      <c r="V261" s="101"/>
      <c r="W261" s="101"/>
    </row>
    <row r="262">
      <c r="A262" s="94"/>
      <c r="B262" s="138"/>
      <c r="C262" s="120"/>
      <c r="D262" s="120"/>
      <c r="E262" s="120"/>
      <c r="F262" s="91"/>
      <c r="G262" s="88"/>
      <c r="H262" s="94"/>
      <c r="I262" s="91"/>
      <c r="J262" s="94"/>
      <c r="K262" s="94"/>
      <c r="L262" s="94"/>
      <c r="M262" s="147"/>
      <c r="N262" s="147"/>
      <c r="O262" s="147"/>
      <c r="P262" s="147"/>
      <c r="Q262" s="94"/>
      <c r="R262" s="91"/>
      <c r="S262" s="148"/>
      <c r="T262" s="91"/>
      <c r="U262" s="101"/>
      <c r="V262" s="101"/>
      <c r="W262" s="101"/>
    </row>
    <row r="263">
      <c r="A263" s="94"/>
      <c r="B263" s="138"/>
      <c r="C263" s="120"/>
      <c r="D263" s="120"/>
      <c r="E263" s="120"/>
      <c r="F263" s="91"/>
      <c r="G263" s="88"/>
      <c r="H263" s="94"/>
      <c r="I263" s="91"/>
      <c r="J263" s="94"/>
      <c r="K263" s="94"/>
      <c r="L263" s="94"/>
      <c r="M263" s="147"/>
      <c r="N263" s="147"/>
      <c r="O263" s="147"/>
      <c r="P263" s="147"/>
      <c r="Q263" s="94"/>
      <c r="R263" s="91"/>
      <c r="S263" s="148"/>
      <c r="T263" s="91"/>
      <c r="U263" s="101"/>
      <c r="V263" s="101"/>
      <c r="W263" s="101"/>
    </row>
    <row r="264">
      <c r="A264" s="94"/>
      <c r="B264" s="138"/>
      <c r="C264" s="120"/>
      <c r="D264" s="120"/>
      <c r="E264" s="120"/>
      <c r="F264" s="91"/>
      <c r="G264" s="88"/>
      <c r="H264" s="94"/>
      <c r="I264" s="91"/>
      <c r="J264" s="94"/>
      <c r="K264" s="94"/>
      <c r="L264" s="94"/>
      <c r="M264" s="147"/>
      <c r="N264" s="147"/>
      <c r="O264" s="147"/>
      <c r="P264" s="147"/>
      <c r="Q264" s="94"/>
      <c r="R264" s="91"/>
      <c r="S264" s="148"/>
      <c r="T264" s="91"/>
      <c r="U264" s="101"/>
      <c r="V264" s="101"/>
      <c r="W264" s="101"/>
    </row>
    <row r="265">
      <c r="A265" s="94"/>
      <c r="B265" s="138"/>
      <c r="C265" s="120"/>
      <c r="D265" s="120"/>
      <c r="E265" s="120"/>
      <c r="F265" s="91"/>
      <c r="G265" s="88"/>
      <c r="H265" s="94"/>
      <c r="I265" s="91"/>
      <c r="J265" s="94"/>
      <c r="K265" s="94"/>
      <c r="L265" s="94"/>
      <c r="M265" s="147"/>
      <c r="N265" s="147"/>
      <c r="O265" s="147"/>
      <c r="P265" s="147"/>
      <c r="Q265" s="94"/>
      <c r="R265" s="91"/>
      <c r="S265" s="148"/>
      <c r="T265" s="91"/>
      <c r="U265" s="101"/>
      <c r="V265" s="101"/>
      <c r="W265" s="101"/>
    </row>
    <row r="266">
      <c r="A266" s="94"/>
      <c r="B266" s="138"/>
      <c r="C266" s="120"/>
      <c r="D266" s="120"/>
      <c r="E266" s="120"/>
      <c r="F266" s="91"/>
      <c r="G266" s="88"/>
      <c r="H266" s="94"/>
      <c r="I266" s="91"/>
      <c r="J266" s="94"/>
      <c r="K266" s="94"/>
      <c r="L266" s="94"/>
      <c r="M266" s="147"/>
      <c r="N266" s="147"/>
      <c r="O266" s="147"/>
      <c r="P266" s="147"/>
      <c r="Q266" s="94"/>
      <c r="R266" s="91"/>
      <c r="S266" s="148"/>
      <c r="T266" s="91"/>
      <c r="U266" s="101"/>
      <c r="V266" s="101"/>
      <c r="W266" s="101"/>
    </row>
    <row r="267">
      <c r="A267" s="94"/>
      <c r="B267" s="138"/>
      <c r="C267" s="120"/>
      <c r="D267" s="120"/>
      <c r="E267" s="120"/>
      <c r="F267" s="91"/>
      <c r="G267" s="88"/>
      <c r="H267" s="94"/>
      <c r="I267" s="91"/>
      <c r="J267" s="94"/>
      <c r="K267" s="94"/>
      <c r="L267" s="94"/>
      <c r="M267" s="147"/>
      <c r="N267" s="147"/>
      <c r="O267" s="147"/>
      <c r="P267" s="147"/>
      <c r="Q267" s="94"/>
      <c r="R267" s="91"/>
      <c r="S267" s="148"/>
      <c r="T267" s="91"/>
      <c r="U267" s="101"/>
      <c r="V267" s="101"/>
      <c r="W267" s="101"/>
    </row>
    <row r="268">
      <c r="A268" s="94"/>
      <c r="B268" s="138"/>
      <c r="C268" s="120"/>
      <c r="D268" s="120"/>
      <c r="E268" s="120"/>
      <c r="F268" s="91"/>
      <c r="G268" s="88"/>
      <c r="H268" s="94"/>
      <c r="I268" s="91"/>
      <c r="J268" s="94"/>
      <c r="K268" s="94"/>
      <c r="L268" s="94"/>
      <c r="M268" s="147"/>
      <c r="N268" s="147"/>
      <c r="O268" s="147"/>
      <c r="P268" s="147"/>
      <c r="Q268" s="94"/>
      <c r="R268" s="91"/>
      <c r="S268" s="148"/>
      <c r="T268" s="91"/>
      <c r="U268" s="101"/>
      <c r="V268" s="101"/>
      <c r="W268" s="101"/>
    </row>
    <row r="269">
      <c r="A269" s="94"/>
      <c r="B269" s="138"/>
      <c r="C269" s="120"/>
      <c r="D269" s="120"/>
      <c r="E269" s="120"/>
      <c r="F269" s="91"/>
      <c r="G269" s="88"/>
      <c r="H269" s="94"/>
      <c r="I269" s="91"/>
      <c r="J269" s="94"/>
      <c r="K269" s="94"/>
      <c r="L269" s="94"/>
      <c r="M269" s="147"/>
      <c r="N269" s="147"/>
      <c r="O269" s="147"/>
      <c r="P269" s="147"/>
      <c r="Q269" s="94"/>
      <c r="R269" s="91"/>
      <c r="S269" s="148"/>
      <c r="T269" s="91"/>
      <c r="U269" s="101"/>
      <c r="V269" s="101"/>
      <c r="W269" s="101"/>
    </row>
    <row r="270">
      <c r="A270" s="94"/>
      <c r="B270" s="138"/>
      <c r="C270" s="120"/>
      <c r="D270" s="120"/>
      <c r="E270" s="120"/>
      <c r="F270" s="91"/>
      <c r="G270" s="88"/>
      <c r="H270" s="94"/>
      <c r="I270" s="91"/>
      <c r="J270" s="94"/>
      <c r="K270" s="94"/>
      <c r="L270" s="94"/>
      <c r="M270" s="147"/>
      <c r="N270" s="147"/>
      <c r="O270" s="147"/>
      <c r="P270" s="147"/>
      <c r="Q270" s="94"/>
      <c r="R270" s="91"/>
      <c r="S270" s="148"/>
      <c r="T270" s="91"/>
      <c r="U270" s="101"/>
      <c r="V270" s="101"/>
      <c r="W270" s="101"/>
    </row>
    <row r="271">
      <c r="A271" s="94"/>
      <c r="B271" s="138"/>
      <c r="C271" s="120"/>
      <c r="D271" s="120"/>
      <c r="E271" s="120"/>
      <c r="F271" s="91"/>
      <c r="G271" s="88"/>
      <c r="H271" s="94"/>
      <c r="I271" s="91"/>
      <c r="J271" s="94"/>
      <c r="K271" s="94"/>
      <c r="L271" s="94"/>
      <c r="M271" s="147"/>
      <c r="N271" s="147"/>
      <c r="O271" s="147"/>
      <c r="P271" s="147"/>
      <c r="Q271" s="94"/>
      <c r="R271" s="91"/>
      <c r="S271" s="148"/>
      <c r="T271" s="91"/>
      <c r="U271" s="101"/>
      <c r="V271" s="101"/>
      <c r="W271" s="101"/>
    </row>
    <row r="272">
      <c r="A272" s="94"/>
      <c r="B272" s="138"/>
      <c r="C272" s="120"/>
      <c r="D272" s="120"/>
      <c r="E272" s="120"/>
      <c r="F272" s="91"/>
      <c r="G272" s="88"/>
      <c r="H272" s="94"/>
      <c r="I272" s="91"/>
      <c r="J272" s="94"/>
      <c r="K272" s="94"/>
      <c r="L272" s="94"/>
      <c r="M272" s="147"/>
      <c r="N272" s="147"/>
      <c r="O272" s="147"/>
      <c r="P272" s="147"/>
      <c r="Q272" s="94"/>
      <c r="R272" s="91"/>
      <c r="S272" s="148"/>
      <c r="T272" s="91"/>
      <c r="U272" s="101"/>
      <c r="V272" s="101"/>
      <c r="W272" s="101"/>
    </row>
    <row r="273">
      <c r="A273" s="94"/>
      <c r="B273" s="138"/>
      <c r="C273" s="120"/>
      <c r="D273" s="120"/>
      <c r="E273" s="120"/>
      <c r="F273" s="91"/>
      <c r="G273" s="88"/>
      <c r="H273" s="94"/>
      <c r="I273" s="91"/>
      <c r="J273" s="94"/>
      <c r="K273" s="94"/>
      <c r="L273" s="94"/>
      <c r="M273" s="147"/>
      <c r="N273" s="147"/>
      <c r="O273" s="147"/>
      <c r="P273" s="147"/>
      <c r="Q273" s="94"/>
      <c r="R273" s="91"/>
      <c r="S273" s="148"/>
      <c r="T273" s="91"/>
      <c r="U273" s="101"/>
      <c r="V273" s="101"/>
      <c r="W273" s="101"/>
    </row>
    <row r="274">
      <c r="A274" s="94"/>
      <c r="B274" s="138"/>
      <c r="C274" s="120"/>
      <c r="D274" s="120"/>
      <c r="E274" s="120"/>
      <c r="F274" s="91"/>
      <c r="G274" s="88"/>
      <c r="H274" s="94"/>
      <c r="I274" s="91"/>
      <c r="J274" s="94"/>
      <c r="K274" s="94"/>
      <c r="L274" s="94"/>
      <c r="M274" s="147"/>
      <c r="N274" s="147"/>
      <c r="O274" s="147"/>
      <c r="P274" s="147"/>
      <c r="Q274" s="94"/>
      <c r="R274" s="91"/>
      <c r="S274" s="148"/>
      <c r="T274" s="91"/>
      <c r="U274" s="101"/>
      <c r="V274" s="101"/>
      <c r="W274" s="101"/>
    </row>
    <row r="275">
      <c r="A275" s="94"/>
      <c r="B275" s="138"/>
      <c r="C275" s="120"/>
      <c r="D275" s="120"/>
      <c r="E275" s="120"/>
      <c r="F275" s="91"/>
      <c r="G275" s="88"/>
      <c r="H275" s="94"/>
      <c r="I275" s="91"/>
      <c r="J275" s="94"/>
      <c r="K275" s="94"/>
      <c r="L275" s="94"/>
      <c r="M275" s="147"/>
      <c r="N275" s="147"/>
      <c r="O275" s="147"/>
      <c r="P275" s="147"/>
      <c r="Q275" s="94"/>
      <c r="R275" s="91"/>
      <c r="S275" s="148"/>
      <c r="T275" s="91"/>
      <c r="U275" s="101"/>
      <c r="V275" s="101"/>
      <c r="W275" s="101"/>
    </row>
    <row r="276">
      <c r="A276" s="94"/>
      <c r="B276" s="138"/>
      <c r="C276" s="120"/>
      <c r="D276" s="120"/>
      <c r="E276" s="120"/>
      <c r="F276" s="91"/>
      <c r="G276" s="88"/>
      <c r="H276" s="94"/>
      <c r="I276" s="91"/>
      <c r="J276" s="94"/>
      <c r="K276" s="94"/>
      <c r="L276" s="94"/>
      <c r="M276" s="147"/>
      <c r="N276" s="147"/>
      <c r="O276" s="147"/>
      <c r="P276" s="147"/>
      <c r="Q276" s="94"/>
      <c r="R276" s="91"/>
      <c r="S276" s="148"/>
      <c r="T276" s="91"/>
      <c r="U276" s="101"/>
      <c r="V276" s="101"/>
      <c r="W276" s="101"/>
    </row>
    <row r="277">
      <c r="A277" s="94"/>
      <c r="B277" s="138"/>
      <c r="C277" s="120"/>
      <c r="D277" s="120"/>
      <c r="E277" s="120"/>
      <c r="F277" s="91"/>
      <c r="G277" s="88"/>
      <c r="H277" s="94"/>
      <c r="I277" s="91"/>
      <c r="J277" s="94"/>
      <c r="K277" s="94"/>
      <c r="L277" s="94"/>
      <c r="M277" s="147"/>
      <c r="N277" s="147"/>
      <c r="O277" s="147"/>
      <c r="P277" s="147"/>
      <c r="Q277" s="94"/>
      <c r="R277" s="91"/>
      <c r="S277" s="148"/>
      <c r="T277" s="91"/>
      <c r="U277" s="101"/>
      <c r="V277" s="101"/>
      <c r="W277" s="101"/>
    </row>
    <row r="278">
      <c r="A278" s="94"/>
      <c r="B278" s="138"/>
      <c r="C278" s="120"/>
      <c r="D278" s="120"/>
      <c r="E278" s="120"/>
      <c r="F278" s="91"/>
      <c r="G278" s="88"/>
      <c r="H278" s="94"/>
      <c r="I278" s="91"/>
      <c r="J278" s="94"/>
      <c r="K278" s="94"/>
      <c r="L278" s="94"/>
      <c r="M278" s="147"/>
      <c r="N278" s="147"/>
      <c r="O278" s="147"/>
      <c r="P278" s="147"/>
      <c r="Q278" s="94"/>
      <c r="R278" s="91"/>
      <c r="S278" s="148"/>
      <c r="T278" s="91"/>
      <c r="U278" s="101"/>
      <c r="V278" s="101"/>
      <c r="W278" s="101"/>
    </row>
    <row r="279">
      <c r="A279" s="94"/>
      <c r="B279" s="138"/>
      <c r="C279" s="120"/>
      <c r="D279" s="120"/>
      <c r="E279" s="120"/>
      <c r="F279" s="91"/>
      <c r="G279" s="88"/>
      <c r="H279" s="94"/>
      <c r="I279" s="91"/>
      <c r="J279" s="94"/>
      <c r="K279" s="94"/>
      <c r="L279" s="94"/>
      <c r="M279" s="147"/>
      <c r="N279" s="147"/>
      <c r="O279" s="147"/>
      <c r="P279" s="147"/>
      <c r="Q279" s="94"/>
      <c r="R279" s="91"/>
      <c r="S279" s="148"/>
      <c r="T279" s="91"/>
      <c r="U279" s="101"/>
      <c r="V279" s="101"/>
      <c r="W279" s="101"/>
    </row>
    <row r="280">
      <c r="A280" s="94"/>
      <c r="B280" s="138"/>
      <c r="C280" s="120"/>
      <c r="D280" s="120"/>
      <c r="E280" s="120"/>
      <c r="F280" s="91"/>
      <c r="G280" s="88"/>
      <c r="H280" s="94"/>
      <c r="I280" s="91"/>
      <c r="J280" s="94"/>
      <c r="K280" s="94"/>
      <c r="L280" s="94"/>
      <c r="M280" s="147"/>
      <c r="N280" s="147"/>
      <c r="O280" s="147"/>
      <c r="P280" s="147"/>
      <c r="Q280" s="94"/>
      <c r="R280" s="91"/>
      <c r="S280" s="148"/>
      <c r="T280" s="91"/>
      <c r="U280" s="101"/>
      <c r="V280" s="101"/>
      <c r="W280" s="101"/>
    </row>
    <row r="281">
      <c r="A281" s="94"/>
      <c r="B281" s="138"/>
      <c r="C281" s="120"/>
      <c r="D281" s="120"/>
      <c r="E281" s="120"/>
      <c r="F281" s="91"/>
      <c r="G281" s="88"/>
      <c r="H281" s="94"/>
      <c r="I281" s="91"/>
      <c r="J281" s="94"/>
      <c r="K281" s="94"/>
      <c r="L281" s="94"/>
      <c r="M281" s="147"/>
      <c r="N281" s="147"/>
      <c r="O281" s="147"/>
      <c r="P281" s="147"/>
      <c r="Q281" s="94"/>
      <c r="R281" s="91"/>
      <c r="S281" s="148"/>
      <c r="T281" s="91"/>
      <c r="U281" s="101"/>
      <c r="V281" s="101"/>
      <c r="W281" s="101"/>
    </row>
    <row r="282">
      <c r="A282" s="94"/>
      <c r="B282" s="138"/>
      <c r="C282" s="120"/>
      <c r="D282" s="120"/>
      <c r="E282" s="120"/>
      <c r="F282" s="91"/>
      <c r="G282" s="88"/>
      <c r="H282" s="94"/>
      <c r="I282" s="91"/>
      <c r="J282" s="94"/>
      <c r="K282" s="94"/>
      <c r="L282" s="94"/>
      <c r="M282" s="147"/>
      <c r="N282" s="147"/>
      <c r="O282" s="147"/>
      <c r="P282" s="147"/>
      <c r="Q282" s="94"/>
      <c r="R282" s="91"/>
      <c r="S282" s="148"/>
      <c r="T282" s="91"/>
      <c r="U282" s="101"/>
      <c r="V282" s="101"/>
      <c r="W282" s="101"/>
    </row>
    <row r="283">
      <c r="A283" s="94"/>
      <c r="B283" s="138"/>
      <c r="C283" s="120"/>
      <c r="D283" s="120"/>
      <c r="E283" s="120"/>
      <c r="F283" s="91"/>
      <c r="G283" s="88"/>
      <c r="H283" s="94"/>
      <c r="I283" s="91"/>
      <c r="J283" s="94"/>
      <c r="K283" s="94"/>
      <c r="L283" s="94"/>
      <c r="M283" s="147"/>
      <c r="N283" s="147"/>
      <c r="O283" s="147"/>
      <c r="P283" s="147"/>
      <c r="Q283" s="94"/>
      <c r="R283" s="91"/>
      <c r="S283" s="148"/>
      <c r="T283" s="91"/>
      <c r="U283" s="101"/>
      <c r="V283" s="101"/>
      <c r="W283" s="101"/>
    </row>
    <row r="284">
      <c r="A284" s="94"/>
      <c r="B284" s="138"/>
      <c r="C284" s="120"/>
      <c r="D284" s="120"/>
      <c r="E284" s="120"/>
      <c r="F284" s="91"/>
      <c r="G284" s="88"/>
      <c r="H284" s="94"/>
      <c r="I284" s="91"/>
      <c r="J284" s="94"/>
      <c r="K284" s="94"/>
      <c r="L284" s="94"/>
      <c r="M284" s="147"/>
      <c r="N284" s="147"/>
      <c r="O284" s="147"/>
      <c r="P284" s="147"/>
      <c r="Q284" s="94"/>
      <c r="R284" s="91"/>
      <c r="S284" s="148"/>
      <c r="T284" s="91"/>
      <c r="U284" s="101"/>
      <c r="V284" s="101"/>
      <c r="W284" s="101"/>
    </row>
    <row r="285">
      <c r="A285" s="94"/>
      <c r="B285" s="138"/>
      <c r="C285" s="120"/>
      <c r="D285" s="120"/>
      <c r="E285" s="120"/>
      <c r="F285" s="91"/>
      <c r="G285" s="88"/>
      <c r="H285" s="94"/>
      <c r="I285" s="91"/>
      <c r="J285" s="94"/>
      <c r="K285" s="94"/>
      <c r="L285" s="94"/>
      <c r="M285" s="147"/>
      <c r="N285" s="147"/>
      <c r="O285" s="147"/>
      <c r="P285" s="147"/>
      <c r="Q285" s="94"/>
      <c r="R285" s="91"/>
      <c r="S285" s="148"/>
      <c r="T285" s="91"/>
      <c r="U285" s="101"/>
      <c r="V285" s="101"/>
      <c r="W285" s="101"/>
    </row>
    <row r="286">
      <c r="A286" s="94"/>
      <c r="B286" s="138"/>
      <c r="C286" s="120"/>
      <c r="D286" s="120"/>
      <c r="E286" s="120"/>
      <c r="F286" s="91"/>
      <c r="G286" s="88"/>
      <c r="H286" s="94"/>
      <c r="I286" s="91"/>
      <c r="J286" s="94"/>
      <c r="K286" s="94"/>
      <c r="L286" s="94"/>
      <c r="M286" s="147"/>
      <c r="N286" s="147"/>
      <c r="O286" s="147"/>
      <c r="P286" s="147"/>
      <c r="Q286" s="94"/>
      <c r="R286" s="91"/>
      <c r="S286" s="148"/>
      <c r="T286" s="91"/>
      <c r="U286" s="101"/>
      <c r="V286" s="101"/>
      <c r="W286" s="101"/>
    </row>
    <row r="287">
      <c r="A287" s="94"/>
      <c r="B287" s="138"/>
      <c r="C287" s="120"/>
      <c r="D287" s="120"/>
      <c r="E287" s="120"/>
      <c r="F287" s="91"/>
      <c r="G287" s="88"/>
      <c r="H287" s="94"/>
      <c r="I287" s="91"/>
      <c r="J287" s="94"/>
      <c r="K287" s="94"/>
      <c r="L287" s="94"/>
      <c r="M287" s="147"/>
      <c r="N287" s="147"/>
      <c r="O287" s="147"/>
      <c r="P287" s="147"/>
      <c r="Q287" s="94"/>
      <c r="R287" s="91"/>
      <c r="S287" s="148"/>
      <c r="T287" s="91"/>
      <c r="U287" s="101"/>
      <c r="V287" s="101"/>
      <c r="W287" s="101"/>
    </row>
    <row r="288">
      <c r="A288" s="94"/>
      <c r="B288" s="138"/>
      <c r="C288" s="120"/>
      <c r="D288" s="120"/>
      <c r="E288" s="120"/>
      <c r="F288" s="91"/>
      <c r="G288" s="88"/>
      <c r="H288" s="94"/>
      <c r="I288" s="91"/>
      <c r="J288" s="94"/>
      <c r="K288" s="94"/>
      <c r="L288" s="94"/>
      <c r="M288" s="147"/>
      <c r="N288" s="147"/>
      <c r="O288" s="147"/>
      <c r="P288" s="147"/>
      <c r="Q288" s="94"/>
      <c r="R288" s="91"/>
      <c r="S288" s="148"/>
      <c r="T288" s="91"/>
      <c r="U288" s="101"/>
      <c r="V288" s="101"/>
      <c r="W288" s="101"/>
    </row>
    <row r="289">
      <c r="A289" s="94"/>
      <c r="B289" s="138"/>
      <c r="C289" s="120"/>
      <c r="D289" s="120"/>
      <c r="E289" s="120"/>
      <c r="F289" s="91"/>
      <c r="G289" s="88"/>
      <c r="H289" s="94"/>
      <c r="I289" s="91"/>
      <c r="J289" s="94"/>
      <c r="K289" s="94"/>
      <c r="L289" s="94"/>
      <c r="M289" s="147"/>
      <c r="N289" s="147"/>
      <c r="O289" s="147"/>
      <c r="P289" s="147"/>
      <c r="Q289" s="94"/>
      <c r="R289" s="91"/>
      <c r="S289" s="148"/>
      <c r="T289" s="91"/>
      <c r="U289" s="101"/>
      <c r="V289" s="101"/>
      <c r="W289" s="101"/>
    </row>
    <row r="290">
      <c r="A290" s="94"/>
      <c r="B290" s="138"/>
      <c r="C290" s="120"/>
      <c r="D290" s="120"/>
      <c r="E290" s="120"/>
      <c r="F290" s="91"/>
      <c r="G290" s="88"/>
      <c r="H290" s="94"/>
      <c r="I290" s="91"/>
      <c r="J290" s="94"/>
      <c r="K290" s="94"/>
      <c r="L290" s="94"/>
      <c r="M290" s="147"/>
      <c r="N290" s="147"/>
      <c r="O290" s="147"/>
      <c r="P290" s="147"/>
      <c r="Q290" s="94"/>
      <c r="R290" s="91"/>
      <c r="S290" s="148"/>
      <c r="T290" s="91"/>
      <c r="U290" s="101"/>
      <c r="V290" s="101"/>
      <c r="W290" s="101"/>
    </row>
    <row r="291">
      <c r="A291" s="94"/>
      <c r="B291" s="138"/>
      <c r="C291" s="120"/>
      <c r="D291" s="120"/>
      <c r="E291" s="120"/>
      <c r="F291" s="91"/>
      <c r="G291" s="88"/>
      <c r="H291" s="94"/>
      <c r="I291" s="91"/>
      <c r="J291" s="94"/>
      <c r="K291" s="94"/>
      <c r="L291" s="94"/>
      <c r="M291" s="147"/>
      <c r="N291" s="147"/>
      <c r="O291" s="147"/>
      <c r="P291" s="147"/>
      <c r="Q291" s="94"/>
      <c r="R291" s="91"/>
      <c r="S291" s="148"/>
      <c r="T291" s="91"/>
      <c r="U291" s="101"/>
      <c r="V291" s="101"/>
      <c r="W291" s="101"/>
    </row>
    <row r="292">
      <c r="A292" s="94"/>
      <c r="B292" s="138"/>
      <c r="C292" s="120"/>
      <c r="D292" s="120"/>
      <c r="E292" s="120"/>
      <c r="F292" s="91"/>
      <c r="G292" s="88"/>
      <c r="H292" s="94"/>
      <c r="I292" s="91"/>
      <c r="J292" s="94"/>
      <c r="K292" s="94"/>
      <c r="L292" s="94"/>
      <c r="M292" s="147"/>
      <c r="N292" s="147"/>
      <c r="O292" s="147"/>
      <c r="P292" s="147"/>
      <c r="Q292" s="94"/>
      <c r="R292" s="91"/>
      <c r="S292" s="148"/>
      <c r="T292" s="91"/>
      <c r="U292" s="101"/>
      <c r="V292" s="101"/>
      <c r="W292" s="101"/>
    </row>
    <row r="293">
      <c r="A293" s="94"/>
      <c r="B293" s="138"/>
      <c r="C293" s="120"/>
      <c r="D293" s="120"/>
      <c r="E293" s="120"/>
      <c r="F293" s="91"/>
      <c r="G293" s="88"/>
      <c r="H293" s="94"/>
      <c r="I293" s="91"/>
      <c r="J293" s="94"/>
      <c r="K293" s="94"/>
      <c r="L293" s="94"/>
      <c r="M293" s="147"/>
      <c r="N293" s="147"/>
      <c r="O293" s="147"/>
      <c r="P293" s="147"/>
      <c r="Q293" s="94"/>
      <c r="R293" s="91"/>
      <c r="S293" s="148"/>
      <c r="T293" s="91"/>
      <c r="U293" s="101"/>
      <c r="V293" s="101"/>
      <c r="W293" s="101"/>
    </row>
    <row r="294">
      <c r="A294" s="94"/>
      <c r="B294" s="138"/>
      <c r="C294" s="120"/>
      <c r="D294" s="120"/>
      <c r="E294" s="120"/>
      <c r="F294" s="91"/>
      <c r="G294" s="88"/>
      <c r="H294" s="94"/>
      <c r="I294" s="91"/>
      <c r="J294" s="94"/>
      <c r="K294" s="94"/>
      <c r="L294" s="94"/>
      <c r="M294" s="147"/>
      <c r="N294" s="147"/>
      <c r="O294" s="147"/>
      <c r="P294" s="147"/>
      <c r="Q294" s="94"/>
      <c r="R294" s="91"/>
      <c r="S294" s="148"/>
      <c r="T294" s="91"/>
      <c r="U294" s="101"/>
      <c r="V294" s="101"/>
      <c r="W294" s="101"/>
    </row>
    <row r="295">
      <c r="A295" s="94"/>
      <c r="B295" s="138"/>
      <c r="C295" s="120"/>
      <c r="D295" s="120"/>
      <c r="E295" s="120"/>
      <c r="F295" s="91"/>
      <c r="G295" s="88"/>
      <c r="H295" s="94"/>
      <c r="I295" s="91"/>
      <c r="J295" s="94"/>
      <c r="K295" s="94"/>
      <c r="L295" s="94"/>
      <c r="M295" s="147"/>
      <c r="N295" s="147"/>
      <c r="O295" s="147"/>
      <c r="P295" s="147"/>
      <c r="Q295" s="94"/>
      <c r="R295" s="91"/>
      <c r="S295" s="148"/>
      <c r="T295" s="91"/>
      <c r="U295" s="101"/>
      <c r="V295" s="101"/>
      <c r="W295" s="101"/>
    </row>
    <row r="296">
      <c r="A296" s="94"/>
      <c r="B296" s="138"/>
      <c r="C296" s="120"/>
      <c r="D296" s="120"/>
      <c r="E296" s="120"/>
      <c r="F296" s="91"/>
      <c r="G296" s="88"/>
      <c r="H296" s="94"/>
      <c r="I296" s="91"/>
      <c r="J296" s="94"/>
      <c r="K296" s="94"/>
      <c r="L296" s="94"/>
      <c r="M296" s="147"/>
      <c r="N296" s="147"/>
      <c r="O296" s="147"/>
      <c r="P296" s="147"/>
      <c r="Q296" s="94"/>
      <c r="R296" s="91"/>
      <c r="S296" s="148"/>
      <c r="T296" s="91"/>
      <c r="U296" s="101"/>
      <c r="V296" s="101"/>
      <c r="W296" s="101"/>
    </row>
    <row r="297">
      <c r="A297" s="94"/>
      <c r="B297" s="138"/>
      <c r="C297" s="120"/>
      <c r="D297" s="120"/>
      <c r="E297" s="120"/>
      <c r="F297" s="91"/>
      <c r="G297" s="88"/>
      <c r="H297" s="94"/>
      <c r="I297" s="91"/>
      <c r="J297" s="94"/>
      <c r="K297" s="94"/>
      <c r="L297" s="94"/>
      <c r="M297" s="147"/>
      <c r="N297" s="147"/>
      <c r="O297" s="147"/>
      <c r="P297" s="147"/>
      <c r="Q297" s="94"/>
      <c r="R297" s="91"/>
      <c r="S297" s="148"/>
      <c r="T297" s="91"/>
      <c r="U297" s="101"/>
      <c r="V297" s="101"/>
      <c r="W297" s="101"/>
    </row>
    <row r="298">
      <c r="A298" s="94"/>
      <c r="B298" s="138"/>
      <c r="C298" s="120"/>
      <c r="D298" s="120"/>
      <c r="E298" s="120"/>
      <c r="F298" s="91"/>
      <c r="G298" s="88"/>
      <c r="H298" s="94"/>
      <c r="I298" s="91"/>
      <c r="J298" s="94"/>
      <c r="K298" s="94"/>
      <c r="L298" s="94"/>
      <c r="M298" s="147"/>
      <c r="N298" s="147"/>
      <c r="O298" s="147"/>
      <c r="P298" s="147"/>
      <c r="Q298" s="94"/>
      <c r="R298" s="91"/>
      <c r="S298" s="148"/>
      <c r="T298" s="91"/>
      <c r="U298" s="101"/>
      <c r="V298" s="101"/>
      <c r="W298" s="101"/>
    </row>
    <row r="299">
      <c r="A299" s="94"/>
      <c r="B299" s="138"/>
      <c r="C299" s="120"/>
      <c r="D299" s="120"/>
      <c r="E299" s="120"/>
      <c r="F299" s="91"/>
      <c r="G299" s="88"/>
      <c r="H299" s="94"/>
      <c r="I299" s="91"/>
      <c r="J299" s="94"/>
      <c r="K299" s="94"/>
      <c r="L299" s="94"/>
      <c r="M299" s="147"/>
      <c r="N299" s="147"/>
      <c r="O299" s="147"/>
      <c r="P299" s="147"/>
      <c r="Q299" s="94"/>
      <c r="R299" s="91"/>
      <c r="S299" s="148"/>
      <c r="T299" s="91"/>
      <c r="U299" s="101"/>
      <c r="V299" s="101"/>
      <c r="W299" s="101"/>
    </row>
    <row r="300">
      <c r="A300" s="94"/>
      <c r="B300" s="138"/>
      <c r="C300" s="120"/>
      <c r="D300" s="120"/>
      <c r="E300" s="120"/>
      <c r="F300" s="91"/>
      <c r="G300" s="88"/>
      <c r="H300" s="94"/>
      <c r="I300" s="91"/>
      <c r="J300" s="94"/>
      <c r="K300" s="94"/>
      <c r="L300" s="94"/>
      <c r="M300" s="147"/>
      <c r="N300" s="147"/>
      <c r="O300" s="147"/>
      <c r="P300" s="147"/>
      <c r="Q300" s="94"/>
      <c r="R300" s="91"/>
      <c r="S300" s="148"/>
      <c r="T300" s="91"/>
      <c r="U300" s="101"/>
      <c r="V300" s="101"/>
      <c r="W300" s="101"/>
    </row>
    <row r="301">
      <c r="A301" s="94"/>
      <c r="B301" s="138"/>
      <c r="C301" s="120"/>
      <c r="D301" s="120"/>
      <c r="E301" s="120"/>
      <c r="F301" s="91"/>
      <c r="G301" s="88"/>
      <c r="H301" s="94"/>
      <c r="I301" s="91"/>
      <c r="J301" s="94"/>
      <c r="K301" s="94"/>
      <c r="L301" s="94"/>
      <c r="M301" s="147"/>
      <c r="N301" s="147"/>
      <c r="O301" s="147"/>
      <c r="P301" s="147"/>
      <c r="Q301" s="94"/>
      <c r="R301" s="91"/>
      <c r="S301" s="148"/>
      <c r="T301" s="91"/>
      <c r="U301" s="101"/>
      <c r="V301" s="101"/>
      <c r="W301" s="101"/>
    </row>
    <row r="302">
      <c r="A302" s="94"/>
      <c r="B302" s="138"/>
      <c r="C302" s="120"/>
      <c r="D302" s="120"/>
      <c r="E302" s="120"/>
      <c r="F302" s="91"/>
      <c r="G302" s="88"/>
      <c r="H302" s="94"/>
      <c r="I302" s="91"/>
      <c r="J302" s="94"/>
      <c r="K302" s="94"/>
      <c r="L302" s="94"/>
      <c r="M302" s="147"/>
      <c r="N302" s="147"/>
      <c r="O302" s="147"/>
      <c r="P302" s="147"/>
      <c r="Q302" s="94"/>
      <c r="R302" s="91"/>
      <c r="S302" s="148"/>
      <c r="T302" s="91"/>
      <c r="U302" s="101"/>
      <c r="V302" s="101"/>
      <c r="W302" s="101"/>
    </row>
    <row r="303">
      <c r="A303" s="94"/>
      <c r="B303" s="138"/>
      <c r="C303" s="120"/>
      <c r="D303" s="120"/>
      <c r="E303" s="120"/>
      <c r="F303" s="91"/>
      <c r="G303" s="88"/>
      <c r="H303" s="94"/>
      <c r="I303" s="91"/>
      <c r="J303" s="94"/>
      <c r="K303" s="94"/>
      <c r="L303" s="94"/>
      <c r="M303" s="147"/>
      <c r="N303" s="147"/>
      <c r="O303" s="147"/>
      <c r="P303" s="147"/>
      <c r="Q303" s="94"/>
      <c r="R303" s="91"/>
      <c r="S303" s="148"/>
      <c r="T303" s="91"/>
      <c r="U303" s="101"/>
      <c r="V303" s="101"/>
      <c r="W303" s="101"/>
    </row>
    <row r="304">
      <c r="A304" s="94"/>
      <c r="B304" s="138"/>
      <c r="C304" s="120"/>
      <c r="D304" s="120"/>
      <c r="E304" s="120"/>
      <c r="F304" s="91"/>
      <c r="G304" s="88"/>
      <c r="H304" s="94"/>
      <c r="I304" s="91"/>
      <c r="J304" s="94"/>
      <c r="K304" s="94"/>
      <c r="L304" s="94"/>
      <c r="M304" s="147"/>
      <c r="N304" s="147"/>
      <c r="O304" s="147"/>
      <c r="P304" s="147"/>
      <c r="Q304" s="94"/>
      <c r="R304" s="91"/>
      <c r="S304" s="148"/>
      <c r="T304" s="91"/>
      <c r="U304" s="101"/>
      <c r="V304" s="101"/>
      <c r="W304" s="101"/>
    </row>
    <row r="305">
      <c r="A305" s="94"/>
      <c r="B305" s="138"/>
      <c r="C305" s="120"/>
      <c r="D305" s="120"/>
      <c r="E305" s="120"/>
      <c r="F305" s="91"/>
      <c r="G305" s="88"/>
      <c r="H305" s="94"/>
      <c r="I305" s="91"/>
      <c r="J305" s="94"/>
      <c r="K305" s="94"/>
      <c r="L305" s="94"/>
      <c r="M305" s="147"/>
      <c r="N305" s="147"/>
      <c r="O305" s="147"/>
      <c r="P305" s="147"/>
      <c r="Q305" s="94"/>
      <c r="R305" s="91"/>
      <c r="S305" s="148"/>
      <c r="T305" s="91"/>
      <c r="U305" s="101"/>
      <c r="V305" s="101"/>
      <c r="W305" s="101"/>
    </row>
    <row r="306">
      <c r="A306" s="94"/>
      <c r="B306" s="138"/>
      <c r="C306" s="120"/>
      <c r="D306" s="120"/>
      <c r="E306" s="120"/>
      <c r="F306" s="91"/>
      <c r="G306" s="88"/>
      <c r="H306" s="94"/>
      <c r="I306" s="91"/>
      <c r="J306" s="94"/>
      <c r="K306" s="94"/>
      <c r="L306" s="94"/>
      <c r="M306" s="147"/>
      <c r="N306" s="147"/>
      <c r="O306" s="147"/>
      <c r="P306" s="147"/>
      <c r="Q306" s="94"/>
      <c r="R306" s="91"/>
      <c r="S306" s="148"/>
      <c r="T306" s="91"/>
      <c r="U306" s="101"/>
      <c r="V306" s="101"/>
      <c r="W306" s="101"/>
    </row>
    <row r="307">
      <c r="A307" s="94"/>
      <c r="B307" s="138"/>
      <c r="C307" s="120"/>
      <c r="D307" s="120"/>
      <c r="E307" s="120"/>
      <c r="F307" s="91"/>
      <c r="G307" s="88"/>
      <c r="H307" s="94"/>
      <c r="I307" s="91"/>
      <c r="J307" s="94"/>
      <c r="K307" s="94"/>
      <c r="L307" s="94"/>
      <c r="M307" s="147"/>
      <c r="N307" s="147"/>
      <c r="O307" s="147"/>
      <c r="P307" s="147"/>
      <c r="Q307" s="94"/>
      <c r="R307" s="91"/>
      <c r="S307" s="148"/>
      <c r="T307" s="91"/>
      <c r="U307" s="101"/>
      <c r="V307" s="101"/>
      <c r="W307" s="101"/>
    </row>
    <row r="308">
      <c r="A308" s="94"/>
      <c r="B308" s="138"/>
      <c r="C308" s="120"/>
      <c r="D308" s="120"/>
      <c r="E308" s="120"/>
      <c r="F308" s="91"/>
      <c r="G308" s="88"/>
      <c r="H308" s="94"/>
      <c r="I308" s="91"/>
      <c r="J308" s="94"/>
      <c r="K308" s="94"/>
      <c r="L308" s="94"/>
      <c r="M308" s="147"/>
      <c r="N308" s="147"/>
      <c r="O308" s="147"/>
      <c r="P308" s="147"/>
      <c r="Q308" s="94"/>
      <c r="R308" s="91"/>
      <c r="S308" s="148"/>
      <c r="T308" s="91"/>
      <c r="U308" s="101"/>
      <c r="V308" s="101"/>
      <c r="W308" s="101"/>
    </row>
    <row r="309">
      <c r="A309" s="94"/>
      <c r="B309" s="138"/>
      <c r="C309" s="120"/>
      <c r="D309" s="120"/>
      <c r="E309" s="120"/>
      <c r="F309" s="91"/>
      <c r="G309" s="88"/>
      <c r="H309" s="94"/>
      <c r="I309" s="91"/>
      <c r="J309" s="94"/>
      <c r="K309" s="94"/>
      <c r="L309" s="94"/>
      <c r="M309" s="147"/>
      <c r="N309" s="147"/>
      <c r="O309" s="147"/>
      <c r="P309" s="147"/>
      <c r="Q309" s="94"/>
      <c r="R309" s="91"/>
      <c r="S309" s="148"/>
      <c r="T309" s="91"/>
      <c r="U309" s="101"/>
      <c r="V309" s="101"/>
      <c r="W309" s="101"/>
    </row>
    <row r="310">
      <c r="A310" s="94"/>
      <c r="B310" s="138"/>
      <c r="C310" s="120"/>
      <c r="D310" s="120"/>
      <c r="E310" s="120"/>
      <c r="F310" s="91"/>
      <c r="G310" s="88"/>
      <c r="H310" s="94"/>
      <c r="I310" s="91"/>
      <c r="J310" s="94"/>
      <c r="K310" s="94"/>
      <c r="L310" s="94"/>
      <c r="M310" s="147"/>
      <c r="N310" s="147"/>
      <c r="O310" s="147"/>
      <c r="P310" s="147"/>
      <c r="Q310" s="94"/>
      <c r="R310" s="91"/>
      <c r="S310" s="148"/>
      <c r="T310" s="91"/>
      <c r="U310" s="101"/>
      <c r="V310" s="101"/>
      <c r="W310" s="101"/>
    </row>
    <row r="311">
      <c r="A311" s="94"/>
      <c r="B311" s="138"/>
      <c r="C311" s="120"/>
      <c r="D311" s="120"/>
      <c r="E311" s="120"/>
      <c r="F311" s="91"/>
      <c r="G311" s="88"/>
      <c r="H311" s="94"/>
      <c r="I311" s="91"/>
      <c r="J311" s="94"/>
      <c r="K311" s="94"/>
      <c r="L311" s="94"/>
      <c r="M311" s="147"/>
      <c r="N311" s="147"/>
      <c r="O311" s="147"/>
      <c r="P311" s="147"/>
      <c r="Q311" s="94"/>
      <c r="R311" s="91"/>
      <c r="S311" s="148"/>
      <c r="T311" s="91"/>
      <c r="U311" s="101"/>
      <c r="V311" s="101"/>
      <c r="W311" s="101"/>
    </row>
    <row r="312">
      <c r="A312" s="94"/>
      <c r="B312" s="138"/>
      <c r="C312" s="120"/>
      <c r="D312" s="120"/>
      <c r="E312" s="120"/>
      <c r="F312" s="91"/>
      <c r="G312" s="88"/>
      <c r="H312" s="94"/>
      <c r="I312" s="91"/>
      <c r="J312" s="94"/>
      <c r="K312" s="94"/>
      <c r="L312" s="94"/>
      <c r="M312" s="147"/>
      <c r="N312" s="147"/>
      <c r="O312" s="147"/>
      <c r="P312" s="147"/>
      <c r="Q312" s="94"/>
      <c r="R312" s="91"/>
      <c r="S312" s="148"/>
      <c r="T312" s="91"/>
      <c r="U312" s="101"/>
      <c r="V312" s="101"/>
      <c r="W312" s="101"/>
    </row>
    <row r="313">
      <c r="A313" s="94"/>
      <c r="B313" s="138"/>
      <c r="C313" s="120"/>
      <c r="D313" s="120"/>
      <c r="E313" s="120"/>
      <c r="F313" s="91"/>
      <c r="G313" s="88"/>
      <c r="H313" s="94"/>
      <c r="I313" s="91"/>
      <c r="J313" s="94"/>
      <c r="K313" s="94"/>
      <c r="L313" s="94"/>
      <c r="M313" s="147"/>
      <c r="N313" s="147"/>
      <c r="O313" s="147"/>
      <c r="P313" s="147"/>
      <c r="Q313" s="94"/>
      <c r="R313" s="91"/>
      <c r="S313" s="148"/>
      <c r="T313" s="91"/>
      <c r="U313" s="101"/>
      <c r="V313" s="101"/>
      <c r="W313" s="101"/>
    </row>
    <row r="314">
      <c r="A314" s="94"/>
      <c r="B314" s="138"/>
      <c r="C314" s="120"/>
      <c r="D314" s="120"/>
      <c r="E314" s="120"/>
      <c r="F314" s="91"/>
      <c r="G314" s="88"/>
      <c r="H314" s="94"/>
      <c r="I314" s="91"/>
      <c r="J314" s="94"/>
      <c r="K314" s="94"/>
      <c r="L314" s="94"/>
      <c r="M314" s="147"/>
      <c r="N314" s="147"/>
      <c r="O314" s="147"/>
      <c r="P314" s="147"/>
      <c r="Q314" s="94"/>
      <c r="R314" s="91"/>
      <c r="S314" s="148"/>
      <c r="T314" s="91"/>
      <c r="U314" s="101"/>
      <c r="V314" s="101"/>
      <c r="W314" s="101"/>
    </row>
    <row r="315">
      <c r="A315" s="94"/>
      <c r="B315" s="138"/>
      <c r="C315" s="120"/>
      <c r="D315" s="120"/>
      <c r="E315" s="120"/>
      <c r="F315" s="91"/>
      <c r="G315" s="88"/>
      <c r="H315" s="94"/>
      <c r="I315" s="91"/>
      <c r="J315" s="94"/>
      <c r="K315" s="94"/>
      <c r="L315" s="94"/>
      <c r="M315" s="147"/>
      <c r="N315" s="147"/>
      <c r="O315" s="147"/>
      <c r="P315" s="147"/>
      <c r="Q315" s="94"/>
      <c r="R315" s="91"/>
      <c r="S315" s="148"/>
      <c r="T315" s="91"/>
      <c r="U315" s="101"/>
      <c r="V315" s="101"/>
      <c r="W315" s="101"/>
    </row>
    <row r="316">
      <c r="A316" s="94"/>
      <c r="B316" s="138"/>
      <c r="C316" s="120"/>
      <c r="D316" s="120"/>
      <c r="E316" s="120"/>
      <c r="F316" s="91"/>
      <c r="G316" s="88"/>
      <c r="H316" s="94"/>
      <c r="I316" s="91"/>
      <c r="J316" s="94"/>
      <c r="K316" s="94"/>
      <c r="L316" s="94"/>
      <c r="M316" s="147"/>
      <c r="N316" s="147"/>
      <c r="O316" s="147"/>
      <c r="P316" s="147"/>
      <c r="Q316" s="94"/>
      <c r="R316" s="91"/>
      <c r="S316" s="148"/>
      <c r="T316" s="91"/>
      <c r="U316" s="101"/>
      <c r="V316" s="101"/>
      <c r="W316" s="101"/>
    </row>
    <row r="317">
      <c r="A317" s="94"/>
      <c r="B317" s="138"/>
      <c r="C317" s="120"/>
      <c r="D317" s="120"/>
      <c r="E317" s="120"/>
      <c r="F317" s="91"/>
      <c r="G317" s="88"/>
      <c r="H317" s="94"/>
      <c r="I317" s="91"/>
      <c r="J317" s="94"/>
      <c r="K317" s="94"/>
      <c r="L317" s="94"/>
      <c r="M317" s="147"/>
      <c r="N317" s="147"/>
      <c r="O317" s="147"/>
      <c r="P317" s="147"/>
      <c r="Q317" s="94"/>
      <c r="R317" s="91"/>
      <c r="S317" s="148"/>
      <c r="T317" s="91"/>
      <c r="U317" s="101"/>
      <c r="V317" s="101"/>
      <c r="W317" s="101"/>
    </row>
    <row r="318">
      <c r="A318" s="94"/>
      <c r="B318" s="138"/>
      <c r="C318" s="120"/>
      <c r="D318" s="120"/>
      <c r="E318" s="120"/>
      <c r="F318" s="91"/>
      <c r="G318" s="88"/>
      <c r="H318" s="94"/>
      <c r="I318" s="91"/>
      <c r="J318" s="94"/>
      <c r="K318" s="94"/>
      <c r="L318" s="94"/>
      <c r="M318" s="147"/>
      <c r="N318" s="147"/>
      <c r="O318" s="147"/>
      <c r="P318" s="147"/>
      <c r="Q318" s="94"/>
      <c r="R318" s="91"/>
      <c r="S318" s="148"/>
      <c r="T318" s="91"/>
      <c r="U318" s="101"/>
      <c r="V318" s="101"/>
      <c r="W318" s="101"/>
    </row>
    <row r="319">
      <c r="A319" s="94"/>
      <c r="B319" s="138"/>
      <c r="C319" s="120"/>
      <c r="D319" s="120"/>
      <c r="E319" s="120"/>
      <c r="F319" s="91"/>
      <c r="G319" s="88"/>
      <c r="H319" s="94"/>
      <c r="I319" s="91"/>
      <c r="J319" s="94"/>
      <c r="K319" s="94"/>
      <c r="L319" s="94"/>
      <c r="M319" s="147"/>
      <c r="N319" s="147"/>
      <c r="O319" s="147"/>
      <c r="P319" s="147"/>
      <c r="Q319" s="94"/>
      <c r="R319" s="91"/>
      <c r="S319" s="148"/>
      <c r="T319" s="91"/>
      <c r="U319" s="101"/>
      <c r="V319" s="101"/>
      <c r="W319" s="101"/>
    </row>
    <row r="320">
      <c r="A320" s="94"/>
      <c r="B320" s="138"/>
      <c r="C320" s="120"/>
      <c r="D320" s="120"/>
      <c r="E320" s="120"/>
      <c r="F320" s="91"/>
      <c r="G320" s="88"/>
      <c r="H320" s="94"/>
      <c r="I320" s="91"/>
      <c r="J320" s="94"/>
      <c r="K320" s="94"/>
      <c r="L320" s="94"/>
      <c r="M320" s="147"/>
      <c r="N320" s="147"/>
      <c r="O320" s="147"/>
      <c r="P320" s="147"/>
      <c r="Q320" s="94"/>
      <c r="R320" s="91"/>
      <c r="S320" s="148"/>
      <c r="T320" s="91"/>
      <c r="U320" s="101"/>
      <c r="V320" s="101"/>
      <c r="W320" s="101"/>
    </row>
    <row r="321">
      <c r="A321" s="94"/>
      <c r="B321" s="138"/>
      <c r="C321" s="120"/>
      <c r="D321" s="120"/>
      <c r="E321" s="120"/>
      <c r="F321" s="91"/>
      <c r="G321" s="88"/>
      <c r="H321" s="94"/>
      <c r="I321" s="91"/>
      <c r="J321" s="94"/>
      <c r="K321" s="94"/>
      <c r="L321" s="94"/>
      <c r="M321" s="147"/>
      <c r="N321" s="147"/>
      <c r="O321" s="147"/>
      <c r="P321" s="147"/>
      <c r="Q321" s="94"/>
      <c r="R321" s="91"/>
      <c r="S321" s="148"/>
      <c r="T321" s="91"/>
      <c r="U321" s="101"/>
      <c r="V321" s="101"/>
      <c r="W321" s="101"/>
    </row>
    <row r="322">
      <c r="A322" s="94"/>
      <c r="B322" s="138"/>
      <c r="C322" s="120"/>
      <c r="D322" s="120"/>
      <c r="E322" s="120"/>
      <c r="F322" s="91"/>
      <c r="G322" s="88"/>
      <c r="H322" s="94"/>
      <c r="I322" s="91"/>
      <c r="J322" s="94"/>
      <c r="K322" s="94"/>
      <c r="L322" s="94"/>
      <c r="M322" s="147"/>
      <c r="N322" s="147"/>
      <c r="O322" s="147"/>
      <c r="P322" s="147"/>
      <c r="Q322" s="94"/>
      <c r="R322" s="91"/>
      <c r="S322" s="148"/>
      <c r="T322" s="91"/>
      <c r="U322" s="101"/>
      <c r="V322" s="101"/>
      <c r="W322" s="101"/>
    </row>
    <row r="323">
      <c r="A323" s="94"/>
      <c r="B323" s="138"/>
      <c r="C323" s="120"/>
      <c r="D323" s="120"/>
      <c r="E323" s="120"/>
      <c r="F323" s="91"/>
      <c r="G323" s="88"/>
      <c r="H323" s="94"/>
      <c r="I323" s="91"/>
      <c r="J323" s="94"/>
      <c r="K323" s="94"/>
      <c r="L323" s="94"/>
      <c r="M323" s="147"/>
      <c r="N323" s="147"/>
      <c r="O323" s="147"/>
      <c r="P323" s="147"/>
      <c r="Q323" s="94"/>
      <c r="R323" s="91"/>
      <c r="S323" s="148"/>
      <c r="T323" s="91"/>
      <c r="U323" s="101"/>
      <c r="V323" s="101"/>
      <c r="W323" s="101"/>
    </row>
    <row r="324">
      <c r="A324" s="94"/>
      <c r="B324" s="138"/>
      <c r="C324" s="120"/>
      <c r="D324" s="120"/>
      <c r="E324" s="120"/>
      <c r="F324" s="91"/>
      <c r="G324" s="88"/>
      <c r="H324" s="94"/>
      <c r="I324" s="91"/>
      <c r="J324" s="94"/>
      <c r="K324" s="94"/>
      <c r="L324" s="94"/>
      <c r="M324" s="147"/>
      <c r="N324" s="147"/>
      <c r="O324" s="147"/>
      <c r="P324" s="147"/>
      <c r="Q324" s="94"/>
      <c r="R324" s="91"/>
      <c r="S324" s="148"/>
      <c r="T324" s="91"/>
      <c r="U324" s="101"/>
      <c r="V324" s="101"/>
      <c r="W324" s="101"/>
    </row>
    <row r="325">
      <c r="A325" s="94"/>
      <c r="B325" s="138"/>
      <c r="C325" s="120"/>
      <c r="D325" s="120"/>
      <c r="E325" s="120"/>
      <c r="F325" s="91"/>
      <c r="G325" s="88"/>
      <c r="H325" s="94"/>
      <c r="I325" s="91"/>
      <c r="J325" s="94"/>
      <c r="K325" s="94"/>
      <c r="L325" s="94"/>
      <c r="M325" s="147"/>
      <c r="N325" s="147"/>
      <c r="O325" s="147"/>
      <c r="P325" s="147"/>
      <c r="Q325" s="94"/>
      <c r="R325" s="91"/>
      <c r="S325" s="148"/>
      <c r="T325" s="91"/>
      <c r="U325" s="101"/>
      <c r="V325" s="101"/>
      <c r="W325" s="101"/>
    </row>
    <row r="326">
      <c r="A326" s="94"/>
      <c r="B326" s="138"/>
      <c r="C326" s="120"/>
      <c r="D326" s="120"/>
      <c r="E326" s="120"/>
      <c r="F326" s="91"/>
      <c r="G326" s="88"/>
      <c r="H326" s="94"/>
      <c r="I326" s="91"/>
      <c r="J326" s="94"/>
      <c r="K326" s="94"/>
      <c r="L326" s="94"/>
      <c r="M326" s="147"/>
      <c r="N326" s="147"/>
      <c r="O326" s="147"/>
      <c r="P326" s="147"/>
      <c r="Q326" s="94"/>
      <c r="R326" s="91"/>
      <c r="S326" s="148"/>
      <c r="T326" s="91"/>
      <c r="U326" s="101"/>
      <c r="V326" s="101"/>
      <c r="W326" s="101"/>
    </row>
    <row r="327">
      <c r="A327" s="94"/>
      <c r="B327" s="138"/>
      <c r="C327" s="120"/>
      <c r="D327" s="120"/>
      <c r="E327" s="120"/>
      <c r="F327" s="91"/>
      <c r="G327" s="88"/>
      <c r="H327" s="94"/>
      <c r="I327" s="91"/>
      <c r="J327" s="94"/>
      <c r="K327" s="94"/>
      <c r="L327" s="94"/>
      <c r="M327" s="147"/>
      <c r="N327" s="147"/>
      <c r="O327" s="147"/>
      <c r="P327" s="147"/>
      <c r="Q327" s="94"/>
      <c r="R327" s="91"/>
      <c r="S327" s="148"/>
      <c r="T327" s="91"/>
      <c r="U327" s="101"/>
      <c r="V327" s="101"/>
      <c r="W327" s="101"/>
    </row>
    <row r="328">
      <c r="A328" s="94"/>
      <c r="B328" s="138"/>
      <c r="C328" s="120"/>
      <c r="D328" s="120"/>
      <c r="E328" s="120"/>
      <c r="F328" s="91"/>
      <c r="G328" s="88"/>
      <c r="H328" s="94"/>
      <c r="I328" s="91"/>
      <c r="J328" s="94"/>
      <c r="K328" s="94"/>
      <c r="L328" s="94"/>
      <c r="M328" s="147"/>
      <c r="N328" s="147"/>
      <c r="O328" s="147"/>
      <c r="P328" s="147"/>
      <c r="Q328" s="94"/>
      <c r="R328" s="91"/>
      <c r="S328" s="148"/>
      <c r="T328" s="91"/>
      <c r="U328" s="101"/>
      <c r="V328" s="101"/>
      <c r="W328" s="101"/>
    </row>
    <row r="329">
      <c r="A329" s="94"/>
      <c r="B329" s="138"/>
      <c r="C329" s="120"/>
      <c r="D329" s="120"/>
      <c r="E329" s="120"/>
      <c r="F329" s="91"/>
      <c r="G329" s="88"/>
      <c r="H329" s="94"/>
      <c r="I329" s="91"/>
      <c r="J329" s="94"/>
      <c r="K329" s="94"/>
      <c r="L329" s="94"/>
      <c r="M329" s="147"/>
      <c r="N329" s="147"/>
      <c r="O329" s="147"/>
      <c r="P329" s="147"/>
      <c r="Q329" s="94"/>
      <c r="R329" s="91"/>
      <c r="S329" s="148"/>
      <c r="T329" s="91"/>
      <c r="U329" s="101"/>
      <c r="V329" s="101"/>
      <c r="W329" s="101"/>
    </row>
    <row r="330">
      <c r="A330" s="94"/>
      <c r="B330" s="138"/>
      <c r="C330" s="120"/>
      <c r="D330" s="120"/>
      <c r="E330" s="120"/>
      <c r="F330" s="91"/>
      <c r="G330" s="88"/>
      <c r="H330" s="94"/>
      <c r="I330" s="91"/>
      <c r="J330" s="94"/>
      <c r="K330" s="94"/>
      <c r="L330" s="94"/>
      <c r="M330" s="147"/>
      <c r="N330" s="147"/>
      <c r="O330" s="147"/>
      <c r="P330" s="147"/>
      <c r="Q330" s="94"/>
      <c r="R330" s="91"/>
      <c r="S330" s="148"/>
      <c r="T330" s="91"/>
      <c r="U330" s="101"/>
      <c r="V330" s="101"/>
      <c r="W330" s="101"/>
    </row>
    <row r="331">
      <c r="A331" s="94"/>
      <c r="B331" s="138"/>
      <c r="C331" s="120"/>
      <c r="D331" s="120"/>
      <c r="E331" s="120"/>
      <c r="F331" s="91"/>
      <c r="G331" s="88"/>
      <c r="H331" s="94"/>
      <c r="I331" s="91"/>
      <c r="J331" s="94"/>
      <c r="K331" s="94"/>
      <c r="L331" s="94"/>
      <c r="M331" s="147"/>
      <c r="N331" s="147"/>
      <c r="O331" s="147"/>
      <c r="P331" s="147"/>
      <c r="Q331" s="94"/>
      <c r="R331" s="91"/>
      <c r="S331" s="148"/>
      <c r="T331" s="91"/>
      <c r="U331" s="101"/>
      <c r="V331" s="101"/>
      <c r="W331" s="101"/>
    </row>
    <row r="332">
      <c r="A332" s="94"/>
      <c r="B332" s="138"/>
      <c r="C332" s="120"/>
      <c r="D332" s="120"/>
      <c r="E332" s="120"/>
      <c r="F332" s="91"/>
      <c r="G332" s="88"/>
      <c r="H332" s="94"/>
      <c r="I332" s="91"/>
      <c r="J332" s="94"/>
      <c r="K332" s="94"/>
      <c r="L332" s="94"/>
      <c r="M332" s="147"/>
      <c r="N332" s="147"/>
      <c r="O332" s="147"/>
      <c r="P332" s="147"/>
      <c r="Q332" s="94"/>
      <c r="R332" s="91"/>
      <c r="S332" s="148"/>
      <c r="T332" s="91"/>
      <c r="U332" s="101"/>
      <c r="V332" s="101"/>
      <c r="W332" s="101"/>
    </row>
    <row r="333">
      <c r="A333" s="94"/>
      <c r="B333" s="138"/>
      <c r="C333" s="120"/>
      <c r="D333" s="120"/>
      <c r="E333" s="120"/>
      <c r="F333" s="91"/>
      <c r="G333" s="88"/>
      <c r="H333" s="94"/>
      <c r="I333" s="91"/>
      <c r="J333" s="94"/>
      <c r="K333" s="94"/>
      <c r="L333" s="94"/>
      <c r="M333" s="147"/>
      <c r="N333" s="147"/>
      <c r="O333" s="147"/>
      <c r="P333" s="147"/>
      <c r="Q333" s="94"/>
      <c r="R333" s="91"/>
      <c r="S333" s="148"/>
      <c r="T333" s="91"/>
      <c r="U333" s="101"/>
      <c r="V333" s="101"/>
      <c r="W333" s="101"/>
    </row>
    <row r="334">
      <c r="A334" s="94"/>
      <c r="B334" s="138"/>
      <c r="C334" s="120"/>
      <c r="D334" s="120"/>
      <c r="E334" s="120"/>
      <c r="F334" s="91"/>
      <c r="G334" s="88"/>
      <c r="H334" s="94"/>
      <c r="I334" s="91"/>
      <c r="J334" s="94"/>
      <c r="K334" s="94"/>
      <c r="L334" s="94"/>
      <c r="M334" s="147"/>
      <c r="N334" s="147"/>
      <c r="O334" s="147"/>
      <c r="P334" s="147"/>
      <c r="Q334" s="94"/>
      <c r="R334" s="91"/>
      <c r="S334" s="148"/>
      <c r="T334" s="91"/>
      <c r="U334" s="101"/>
      <c r="V334" s="101"/>
      <c r="W334" s="101"/>
    </row>
    <row r="335">
      <c r="A335" s="94"/>
      <c r="B335" s="138"/>
      <c r="C335" s="120"/>
      <c r="D335" s="120"/>
      <c r="E335" s="120"/>
      <c r="F335" s="91"/>
      <c r="G335" s="88"/>
      <c r="H335" s="94"/>
      <c r="I335" s="91"/>
      <c r="J335" s="94"/>
      <c r="K335" s="94"/>
      <c r="L335" s="94"/>
      <c r="M335" s="147"/>
      <c r="N335" s="147"/>
      <c r="O335" s="147"/>
      <c r="P335" s="147"/>
      <c r="Q335" s="94"/>
      <c r="R335" s="91"/>
      <c r="S335" s="148"/>
      <c r="T335" s="91"/>
      <c r="U335" s="101"/>
      <c r="V335" s="101"/>
      <c r="W335" s="101"/>
    </row>
    <row r="336">
      <c r="A336" s="94"/>
      <c r="B336" s="138"/>
      <c r="C336" s="120"/>
      <c r="D336" s="120"/>
      <c r="E336" s="120"/>
      <c r="F336" s="91"/>
      <c r="G336" s="88"/>
      <c r="H336" s="94"/>
      <c r="I336" s="91"/>
      <c r="J336" s="94"/>
      <c r="K336" s="94"/>
      <c r="L336" s="94"/>
      <c r="M336" s="147"/>
      <c r="N336" s="147"/>
      <c r="O336" s="147"/>
      <c r="P336" s="147"/>
      <c r="Q336" s="94"/>
      <c r="R336" s="91"/>
      <c r="S336" s="148"/>
      <c r="T336" s="91"/>
      <c r="U336" s="101"/>
      <c r="V336" s="101"/>
      <c r="W336" s="101"/>
    </row>
    <row r="337">
      <c r="A337" s="94"/>
      <c r="B337" s="138"/>
      <c r="C337" s="120"/>
      <c r="D337" s="120"/>
      <c r="E337" s="120"/>
      <c r="F337" s="91"/>
      <c r="G337" s="88"/>
      <c r="H337" s="94"/>
      <c r="I337" s="91"/>
      <c r="J337" s="94"/>
      <c r="K337" s="94"/>
      <c r="L337" s="94"/>
      <c r="M337" s="147"/>
      <c r="N337" s="147"/>
      <c r="O337" s="147"/>
      <c r="P337" s="147"/>
      <c r="Q337" s="94"/>
      <c r="R337" s="91"/>
      <c r="S337" s="148"/>
      <c r="T337" s="91"/>
      <c r="U337" s="101"/>
      <c r="V337" s="101"/>
      <c r="W337" s="101"/>
    </row>
    <row r="338">
      <c r="A338" s="94"/>
      <c r="B338" s="138"/>
      <c r="C338" s="120"/>
      <c r="D338" s="120"/>
      <c r="E338" s="120"/>
      <c r="F338" s="91"/>
      <c r="G338" s="88"/>
      <c r="H338" s="94"/>
      <c r="I338" s="91"/>
      <c r="J338" s="94"/>
      <c r="K338" s="94"/>
      <c r="L338" s="94"/>
      <c r="M338" s="147"/>
      <c r="N338" s="147"/>
      <c r="O338" s="147"/>
      <c r="P338" s="147"/>
      <c r="Q338" s="94"/>
      <c r="R338" s="91"/>
      <c r="S338" s="148"/>
      <c r="T338" s="91"/>
      <c r="U338" s="101"/>
      <c r="V338" s="101"/>
      <c r="W338" s="101"/>
    </row>
    <row r="339">
      <c r="A339" s="94"/>
      <c r="B339" s="138"/>
      <c r="C339" s="120"/>
      <c r="D339" s="120"/>
      <c r="E339" s="120"/>
      <c r="F339" s="91"/>
      <c r="G339" s="88"/>
      <c r="H339" s="94"/>
      <c r="I339" s="91"/>
      <c r="J339" s="94"/>
      <c r="K339" s="94"/>
      <c r="L339" s="94"/>
      <c r="M339" s="147"/>
      <c r="N339" s="147"/>
      <c r="O339" s="147"/>
      <c r="P339" s="147"/>
      <c r="Q339" s="94"/>
      <c r="R339" s="91"/>
      <c r="S339" s="148"/>
      <c r="T339" s="91"/>
      <c r="U339" s="101"/>
      <c r="V339" s="101"/>
      <c r="W339" s="101"/>
    </row>
    <row r="340">
      <c r="A340" s="94"/>
      <c r="B340" s="138"/>
      <c r="C340" s="120"/>
      <c r="D340" s="120"/>
      <c r="E340" s="120"/>
      <c r="F340" s="91"/>
      <c r="G340" s="88"/>
      <c r="H340" s="94"/>
      <c r="I340" s="91"/>
      <c r="J340" s="94"/>
      <c r="K340" s="94"/>
      <c r="L340" s="94"/>
      <c r="M340" s="147"/>
      <c r="N340" s="147"/>
      <c r="O340" s="147"/>
      <c r="P340" s="147"/>
      <c r="Q340" s="94"/>
      <c r="R340" s="91"/>
      <c r="S340" s="148"/>
      <c r="T340" s="91"/>
      <c r="U340" s="101"/>
      <c r="V340" s="101"/>
      <c r="W340" s="101"/>
    </row>
    <row r="341">
      <c r="A341" s="94"/>
      <c r="B341" s="138"/>
      <c r="C341" s="120"/>
      <c r="D341" s="120"/>
      <c r="E341" s="120"/>
      <c r="F341" s="91"/>
      <c r="G341" s="88"/>
      <c r="H341" s="94"/>
      <c r="I341" s="91"/>
      <c r="J341" s="94"/>
      <c r="K341" s="94"/>
      <c r="L341" s="94"/>
      <c r="M341" s="147"/>
      <c r="N341" s="147"/>
      <c r="O341" s="147"/>
      <c r="P341" s="147"/>
      <c r="Q341" s="94"/>
      <c r="R341" s="91"/>
      <c r="S341" s="148"/>
      <c r="T341" s="91"/>
      <c r="U341" s="101"/>
      <c r="V341" s="101"/>
      <c r="W341" s="101"/>
    </row>
    <row r="342">
      <c r="A342" s="94"/>
      <c r="B342" s="138"/>
      <c r="C342" s="120"/>
      <c r="D342" s="120"/>
      <c r="E342" s="120"/>
      <c r="F342" s="91"/>
      <c r="G342" s="88"/>
      <c r="H342" s="94"/>
      <c r="I342" s="91"/>
      <c r="J342" s="94"/>
      <c r="K342" s="94"/>
      <c r="L342" s="94"/>
      <c r="M342" s="147"/>
      <c r="N342" s="147"/>
      <c r="O342" s="147"/>
      <c r="P342" s="147"/>
      <c r="Q342" s="94"/>
      <c r="R342" s="91"/>
      <c r="S342" s="148"/>
      <c r="T342" s="91"/>
      <c r="U342" s="101"/>
      <c r="V342" s="101"/>
      <c r="W342" s="101"/>
    </row>
    <row r="343">
      <c r="A343" s="94"/>
      <c r="B343" s="138"/>
      <c r="C343" s="120"/>
      <c r="D343" s="120"/>
      <c r="E343" s="120"/>
      <c r="F343" s="91"/>
      <c r="G343" s="88"/>
      <c r="H343" s="94"/>
      <c r="I343" s="91"/>
      <c r="J343" s="94"/>
      <c r="K343" s="94"/>
      <c r="L343" s="94"/>
      <c r="M343" s="147"/>
      <c r="N343" s="147"/>
      <c r="O343" s="147"/>
      <c r="P343" s="147"/>
      <c r="Q343" s="94"/>
      <c r="R343" s="91"/>
      <c r="S343" s="148"/>
      <c r="T343" s="91"/>
      <c r="U343" s="101"/>
      <c r="V343" s="101"/>
      <c r="W343" s="101"/>
    </row>
    <row r="344">
      <c r="A344" s="94"/>
      <c r="B344" s="138"/>
      <c r="C344" s="120"/>
      <c r="D344" s="120"/>
      <c r="E344" s="120"/>
      <c r="F344" s="91"/>
      <c r="G344" s="88"/>
      <c r="H344" s="94"/>
      <c r="I344" s="91"/>
      <c r="J344" s="94"/>
      <c r="K344" s="94"/>
      <c r="L344" s="94"/>
      <c r="M344" s="147"/>
      <c r="N344" s="147"/>
      <c r="O344" s="147"/>
      <c r="P344" s="147"/>
      <c r="Q344" s="94"/>
      <c r="R344" s="91"/>
      <c r="S344" s="148"/>
      <c r="T344" s="91"/>
      <c r="U344" s="101"/>
      <c r="V344" s="101"/>
      <c r="W344" s="101"/>
    </row>
    <row r="345">
      <c r="A345" s="94"/>
      <c r="B345" s="138"/>
      <c r="C345" s="120"/>
      <c r="D345" s="120"/>
      <c r="E345" s="120"/>
      <c r="F345" s="91"/>
      <c r="G345" s="88"/>
      <c r="H345" s="94"/>
      <c r="I345" s="91"/>
      <c r="J345" s="94"/>
      <c r="K345" s="94"/>
      <c r="L345" s="94"/>
      <c r="M345" s="147"/>
      <c r="N345" s="147"/>
      <c r="O345" s="147"/>
      <c r="P345" s="147"/>
      <c r="Q345" s="94"/>
      <c r="R345" s="91"/>
      <c r="S345" s="148"/>
      <c r="T345" s="91"/>
      <c r="U345" s="101"/>
      <c r="V345" s="101"/>
      <c r="W345" s="101"/>
    </row>
    <row r="346">
      <c r="A346" s="94"/>
      <c r="B346" s="138"/>
      <c r="C346" s="120"/>
      <c r="D346" s="120"/>
      <c r="E346" s="120"/>
      <c r="F346" s="91"/>
      <c r="G346" s="88"/>
      <c r="H346" s="94"/>
      <c r="I346" s="91"/>
      <c r="J346" s="94"/>
      <c r="K346" s="94"/>
      <c r="L346" s="94"/>
      <c r="M346" s="147"/>
      <c r="N346" s="147"/>
      <c r="O346" s="147"/>
      <c r="P346" s="147"/>
      <c r="Q346" s="94"/>
      <c r="R346" s="91"/>
      <c r="S346" s="148"/>
      <c r="T346" s="91"/>
      <c r="U346" s="101"/>
      <c r="V346" s="101"/>
      <c r="W346" s="101"/>
    </row>
    <row r="347">
      <c r="A347" s="94"/>
      <c r="B347" s="138"/>
      <c r="C347" s="120"/>
      <c r="D347" s="120"/>
      <c r="E347" s="120"/>
      <c r="F347" s="91"/>
      <c r="G347" s="88"/>
      <c r="H347" s="94"/>
      <c r="I347" s="91"/>
      <c r="J347" s="94"/>
      <c r="K347" s="94"/>
      <c r="L347" s="94"/>
      <c r="M347" s="147"/>
      <c r="N347" s="147"/>
      <c r="O347" s="147"/>
      <c r="P347" s="147"/>
      <c r="Q347" s="94"/>
      <c r="R347" s="91"/>
      <c r="S347" s="148"/>
      <c r="T347" s="91"/>
      <c r="U347" s="101"/>
      <c r="V347" s="101"/>
      <c r="W347" s="101"/>
    </row>
    <row r="348">
      <c r="A348" s="94"/>
      <c r="B348" s="138"/>
      <c r="C348" s="120"/>
      <c r="D348" s="120"/>
      <c r="E348" s="120"/>
      <c r="F348" s="91"/>
      <c r="G348" s="88"/>
      <c r="H348" s="94"/>
      <c r="I348" s="91"/>
      <c r="J348" s="94"/>
      <c r="K348" s="94"/>
      <c r="L348" s="94"/>
      <c r="M348" s="147"/>
      <c r="N348" s="147"/>
      <c r="O348" s="147"/>
      <c r="P348" s="147"/>
      <c r="Q348" s="94"/>
      <c r="R348" s="91"/>
      <c r="S348" s="148"/>
      <c r="T348" s="91"/>
      <c r="U348" s="101"/>
      <c r="V348" s="101"/>
      <c r="W348" s="101"/>
    </row>
    <row r="349">
      <c r="A349" s="94"/>
      <c r="B349" s="138"/>
      <c r="C349" s="120"/>
      <c r="D349" s="120"/>
      <c r="E349" s="120"/>
      <c r="F349" s="91"/>
      <c r="G349" s="88"/>
      <c r="H349" s="94"/>
      <c r="I349" s="91"/>
      <c r="J349" s="94"/>
      <c r="K349" s="94"/>
      <c r="L349" s="94"/>
      <c r="M349" s="147"/>
      <c r="N349" s="147"/>
      <c r="O349" s="147"/>
      <c r="P349" s="147"/>
      <c r="Q349" s="94"/>
      <c r="R349" s="91"/>
      <c r="S349" s="148"/>
      <c r="T349" s="91"/>
      <c r="U349" s="101"/>
      <c r="V349" s="101"/>
      <c r="W349" s="101"/>
    </row>
    <row r="350">
      <c r="A350" s="94"/>
      <c r="B350" s="138"/>
      <c r="C350" s="120"/>
      <c r="D350" s="120"/>
      <c r="E350" s="120"/>
      <c r="F350" s="91"/>
      <c r="G350" s="88"/>
      <c r="H350" s="94"/>
      <c r="I350" s="91"/>
      <c r="J350" s="94"/>
      <c r="K350" s="94"/>
      <c r="L350" s="94"/>
      <c r="M350" s="147"/>
      <c r="N350" s="147"/>
      <c r="O350" s="147"/>
      <c r="P350" s="147"/>
      <c r="Q350" s="94"/>
      <c r="R350" s="91"/>
      <c r="S350" s="148"/>
      <c r="T350" s="91"/>
      <c r="U350" s="101"/>
      <c r="V350" s="101"/>
      <c r="W350" s="101"/>
    </row>
    <row r="351">
      <c r="A351" s="94"/>
      <c r="B351" s="138"/>
      <c r="C351" s="120"/>
      <c r="D351" s="120"/>
      <c r="E351" s="120"/>
      <c r="F351" s="91"/>
      <c r="G351" s="88"/>
      <c r="H351" s="94"/>
      <c r="I351" s="91"/>
      <c r="J351" s="94"/>
      <c r="K351" s="94"/>
      <c r="L351" s="94"/>
      <c r="M351" s="147"/>
      <c r="N351" s="147"/>
      <c r="O351" s="147"/>
      <c r="P351" s="147"/>
      <c r="Q351" s="94"/>
      <c r="R351" s="91"/>
      <c r="S351" s="148"/>
      <c r="T351" s="91"/>
      <c r="U351" s="101"/>
      <c r="V351" s="101"/>
      <c r="W351" s="101"/>
    </row>
    <row r="352">
      <c r="A352" s="94"/>
      <c r="B352" s="138"/>
      <c r="C352" s="120"/>
      <c r="D352" s="120"/>
      <c r="E352" s="120"/>
      <c r="F352" s="91"/>
      <c r="G352" s="88"/>
      <c r="H352" s="94"/>
      <c r="I352" s="91"/>
      <c r="J352" s="94"/>
      <c r="K352" s="94"/>
      <c r="L352" s="94"/>
      <c r="M352" s="147"/>
      <c r="N352" s="147"/>
      <c r="O352" s="147"/>
      <c r="P352" s="147"/>
      <c r="Q352" s="94"/>
      <c r="R352" s="91"/>
      <c r="S352" s="148"/>
      <c r="T352" s="91"/>
      <c r="U352" s="101"/>
      <c r="V352" s="101"/>
      <c r="W352" s="101"/>
    </row>
    <row r="353">
      <c r="A353" s="94"/>
      <c r="B353" s="138"/>
      <c r="C353" s="120"/>
      <c r="D353" s="120"/>
      <c r="E353" s="120"/>
      <c r="F353" s="91"/>
      <c r="G353" s="88"/>
      <c r="H353" s="94"/>
      <c r="I353" s="91"/>
      <c r="J353" s="94"/>
      <c r="K353" s="94"/>
      <c r="L353" s="94"/>
      <c r="M353" s="147"/>
      <c r="N353" s="147"/>
      <c r="O353" s="147"/>
      <c r="P353" s="147"/>
      <c r="Q353" s="94"/>
      <c r="R353" s="91"/>
      <c r="S353" s="148"/>
      <c r="T353" s="91"/>
      <c r="U353" s="101"/>
      <c r="V353" s="101"/>
      <c r="W353" s="101"/>
    </row>
    <row r="354">
      <c r="A354" s="94"/>
      <c r="B354" s="138"/>
      <c r="C354" s="120"/>
      <c r="D354" s="120"/>
      <c r="E354" s="120"/>
      <c r="F354" s="91"/>
      <c r="G354" s="88"/>
      <c r="H354" s="94"/>
      <c r="I354" s="91"/>
      <c r="J354" s="94"/>
      <c r="K354" s="94"/>
      <c r="L354" s="94"/>
      <c r="M354" s="147"/>
      <c r="N354" s="147"/>
      <c r="O354" s="147"/>
      <c r="P354" s="147"/>
      <c r="Q354" s="94"/>
      <c r="R354" s="91"/>
      <c r="S354" s="148"/>
      <c r="T354" s="91"/>
      <c r="U354" s="101"/>
      <c r="V354" s="101"/>
      <c r="W354" s="101"/>
    </row>
    <row r="355">
      <c r="A355" s="94"/>
      <c r="B355" s="138"/>
      <c r="C355" s="120"/>
      <c r="D355" s="120"/>
      <c r="E355" s="120"/>
      <c r="F355" s="91"/>
      <c r="G355" s="88"/>
      <c r="H355" s="94"/>
      <c r="I355" s="91"/>
      <c r="J355" s="94"/>
      <c r="K355" s="94"/>
      <c r="L355" s="94"/>
      <c r="M355" s="147"/>
      <c r="N355" s="147"/>
      <c r="O355" s="147"/>
      <c r="P355" s="147"/>
      <c r="Q355" s="94"/>
      <c r="R355" s="91"/>
      <c r="S355" s="148"/>
      <c r="T355" s="91"/>
      <c r="U355" s="101"/>
      <c r="V355" s="101"/>
      <c r="W355" s="101"/>
    </row>
    <row r="356">
      <c r="A356" s="94"/>
      <c r="B356" s="138"/>
      <c r="C356" s="120"/>
      <c r="D356" s="120"/>
      <c r="E356" s="120"/>
      <c r="F356" s="91"/>
      <c r="G356" s="88"/>
      <c r="H356" s="94"/>
      <c r="I356" s="91"/>
      <c r="J356" s="94"/>
      <c r="K356" s="94"/>
      <c r="L356" s="94"/>
      <c r="M356" s="147"/>
      <c r="N356" s="147"/>
      <c r="O356" s="147"/>
      <c r="P356" s="147"/>
      <c r="Q356" s="94"/>
      <c r="R356" s="91"/>
      <c r="S356" s="148"/>
      <c r="T356" s="91"/>
      <c r="U356" s="101"/>
      <c r="V356" s="101"/>
      <c r="W356" s="101"/>
    </row>
    <row r="357">
      <c r="A357" s="94"/>
      <c r="B357" s="138"/>
      <c r="C357" s="120"/>
      <c r="D357" s="120"/>
      <c r="E357" s="120"/>
      <c r="F357" s="91"/>
      <c r="G357" s="88"/>
      <c r="H357" s="94"/>
      <c r="I357" s="91"/>
      <c r="J357" s="94"/>
      <c r="K357" s="94"/>
      <c r="L357" s="94"/>
      <c r="M357" s="147"/>
      <c r="N357" s="147"/>
      <c r="O357" s="147"/>
      <c r="P357" s="147"/>
      <c r="Q357" s="94"/>
      <c r="R357" s="91"/>
      <c r="S357" s="148"/>
      <c r="T357" s="91"/>
      <c r="U357" s="101"/>
      <c r="V357" s="101"/>
      <c r="W357" s="101"/>
    </row>
    <row r="358">
      <c r="A358" s="94"/>
      <c r="B358" s="138"/>
      <c r="C358" s="120"/>
      <c r="D358" s="120"/>
      <c r="E358" s="120"/>
      <c r="F358" s="91"/>
      <c r="G358" s="88"/>
      <c r="H358" s="94"/>
      <c r="I358" s="91"/>
      <c r="J358" s="94"/>
      <c r="K358" s="94"/>
      <c r="L358" s="94"/>
      <c r="M358" s="147"/>
      <c r="N358" s="147"/>
      <c r="O358" s="147"/>
      <c r="P358" s="147"/>
      <c r="Q358" s="94"/>
      <c r="R358" s="91"/>
      <c r="S358" s="148"/>
      <c r="T358" s="91"/>
      <c r="U358" s="101"/>
      <c r="V358" s="101"/>
      <c r="W358" s="101"/>
    </row>
    <row r="359">
      <c r="A359" s="94"/>
      <c r="B359" s="138"/>
      <c r="C359" s="120"/>
      <c r="D359" s="120"/>
      <c r="E359" s="120"/>
      <c r="F359" s="91"/>
      <c r="G359" s="88"/>
      <c r="H359" s="94"/>
      <c r="I359" s="91"/>
      <c r="J359" s="94"/>
      <c r="K359" s="94"/>
      <c r="L359" s="94"/>
      <c r="M359" s="147"/>
      <c r="N359" s="147"/>
      <c r="O359" s="147"/>
      <c r="P359" s="147"/>
      <c r="Q359" s="94"/>
      <c r="R359" s="91"/>
      <c r="S359" s="148"/>
      <c r="T359" s="91"/>
      <c r="U359" s="101"/>
      <c r="V359" s="101"/>
      <c r="W359" s="101"/>
    </row>
    <row r="360">
      <c r="A360" s="94"/>
      <c r="B360" s="138"/>
      <c r="C360" s="120"/>
      <c r="D360" s="120"/>
      <c r="E360" s="120"/>
      <c r="F360" s="91"/>
      <c r="G360" s="88"/>
      <c r="H360" s="94"/>
      <c r="I360" s="91"/>
      <c r="J360" s="94"/>
      <c r="K360" s="94"/>
      <c r="L360" s="94"/>
      <c r="M360" s="147"/>
      <c r="N360" s="147"/>
      <c r="O360" s="147"/>
      <c r="P360" s="147"/>
      <c r="Q360" s="94"/>
      <c r="R360" s="91"/>
      <c r="S360" s="148"/>
      <c r="T360" s="91"/>
      <c r="U360" s="101"/>
      <c r="V360" s="101"/>
      <c r="W360" s="101"/>
    </row>
    <row r="361">
      <c r="A361" s="94"/>
      <c r="B361" s="138"/>
      <c r="C361" s="120"/>
      <c r="D361" s="120"/>
      <c r="E361" s="120"/>
      <c r="F361" s="91"/>
      <c r="G361" s="88"/>
      <c r="H361" s="94"/>
      <c r="I361" s="91"/>
      <c r="J361" s="94"/>
      <c r="K361" s="94"/>
      <c r="L361" s="94"/>
      <c r="M361" s="147"/>
      <c r="N361" s="147"/>
      <c r="O361" s="147"/>
      <c r="P361" s="147"/>
      <c r="Q361" s="94"/>
      <c r="R361" s="91"/>
      <c r="S361" s="148"/>
      <c r="T361" s="91"/>
      <c r="U361" s="101"/>
      <c r="V361" s="101"/>
      <c r="W361" s="101"/>
    </row>
    <row r="362">
      <c r="A362" s="94"/>
      <c r="B362" s="138"/>
      <c r="C362" s="120"/>
      <c r="D362" s="120"/>
      <c r="E362" s="120"/>
      <c r="F362" s="91"/>
      <c r="G362" s="88"/>
      <c r="H362" s="94"/>
      <c r="I362" s="91"/>
      <c r="J362" s="94"/>
      <c r="K362" s="94"/>
      <c r="L362" s="94"/>
      <c r="M362" s="147"/>
      <c r="N362" s="147"/>
      <c r="O362" s="147"/>
      <c r="P362" s="147"/>
      <c r="Q362" s="94"/>
      <c r="R362" s="91"/>
      <c r="S362" s="148"/>
      <c r="T362" s="91"/>
      <c r="U362" s="101"/>
      <c r="V362" s="101"/>
      <c r="W362" s="101"/>
    </row>
    <row r="363">
      <c r="A363" s="94"/>
      <c r="B363" s="138"/>
      <c r="C363" s="120"/>
      <c r="D363" s="120"/>
      <c r="E363" s="120"/>
      <c r="F363" s="91"/>
      <c r="G363" s="88"/>
      <c r="H363" s="94"/>
      <c r="I363" s="91"/>
      <c r="J363" s="94"/>
      <c r="K363" s="94"/>
      <c r="L363" s="94"/>
      <c r="M363" s="147"/>
      <c r="N363" s="147"/>
      <c r="O363" s="147"/>
      <c r="P363" s="147"/>
      <c r="Q363" s="94"/>
      <c r="R363" s="91"/>
      <c r="S363" s="148"/>
      <c r="T363" s="91"/>
      <c r="U363" s="101"/>
      <c r="V363" s="101"/>
      <c r="W363" s="101"/>
    </row>
    <row r="364">
      <c r="A364" s="94"/>
      <c r="B364" s="138"/>
      <c r="C364" s="120"/>
      <c r="D364" s="120"/>
      <c r="E364" s="120"/>
      <c r="F364" s="91"/>
      <c r="G364" s="88"/>
      <c r="H364" s="94"/>
      <c r="I364" s="91"/>
      <c r="J364" s="94"/>
      <c r="K364" s="94"/>
      <c r="L364" s="94"/>
      <c r="M364" s="147"/>
      <c r="N364" s="147"/>
      <c r="O364" s="147"/>
      <c r="P364" s="147"/>
      <c r="Q364" s="94"/>
      <c r="R364" s="91"/>
      <c r="S364" s="148"/>
      <c r="T364" s="91"/>
      <c r="U364" s="101"/>
      <c r="V364" s="101"/>
      <c r="W364" s="101"/>
    </row>
    <row r="365">
      <c r="A365" s="94"/>
      <c r="B365" s="138"/>
      <c r="C365" s="120"/>
      <c r="D365" s="120"/>
      <c r="E365" s="120"/>
      <c r="F365" s="91"/>
      <c r="G365" s="88"/>
      <c r="H365" s="94"/>
      <c r="I365" s="91"/>
      <c r="J365" s="94"/>
      <c r="K365" s="94"/>
      <c r="L365" s="94"/>
      <c r="M365" s="147"/>
      <c r="N365" s="147"/>
      <c r="O365" s="147"/>
      <c r="P365" s="147"/>
      <c r="Q365" s="94"/>
      <c r="R365" s="91"/>
      <c r="S365" s="148"/>
      <c r="T365" s="91"/>
      <c r="U365" s="101"/>
      <c r="V365" s="101"/>
      <c r="W365" s="101"/>
    </row>
    <row r="366">
      <c r="A366" s="94"/>
      <c r="B366" s="138"/>
      <c r="C366" s="120"/>
      <c r="D366" s="120"/>
      <c r="E366" s="120"/>
      <c r="F366" s="91"/>
      <c r="G366" s="88"/>
      <c r="H366" s="94"/>
      <c r="I366" s="91"/>
      <c r="J366" s="94"/>
      <c r="K366" s="94"/>
      <c r="L366" s="94"/>
      <c r="M366" s="147"/>
      <c r="N366" s="147"/>
      <c r="O366" s="147"/>
      <c r="P366" s="147"/>
      <c r="Q366" s="94"/>
      <c r="R366" s="91"/>
      <c r="S366" s="148"/>
      <c r="T366" s="91"/>
      <c r="U366" s="101"/>
      <c r="V366" s="101"/>
      <c r="W366" s="101"/>
    </row>
    <row r="367">
      <c r="A367" s="94"/>
      <c r="B367" s="138"/>
      <c r="C367" s="120"/>
      <c r="D367" s="120"/>
      <c r="E367" s="120"/>
      <c r="F367" s="91"/>
      <c r="G367" s="88"/>
      <c r="H367" s="94"/>
      <c r="I367" s="91"/>
      <c r="J367" s="94"/>
      <c r="K367" s="94"/>
      <c r="L367" s="94"/>
      <c r="M367" s="147"/>
      <c r="N367" s="147"/>
      <c r="O367" s="147"/>
      <c r="P367" s="147"/>
      <c r="Q367" s="94"/>
      <c r="R367" s="91"/>
      <c r="S367" s="148"/>
      <c r="T367" s="91"/>
      <c r="U367" s="101"/>
      <c r="V367" s="101"/>
      <c r="W367" s="101"/>
    </row>
    <row r="368">
      <c r="A368" s="94"/>
      <c r="B368" s="138"/>
      <c r="C368" s="120"/>
      <c r="D368" s="120"/>
      <c r="E368" s="120"/>
      <c r="F368" s="91"/>
      <c r="G368" s="88"/>
      <c r="H368" s="94"/>
      <c r="I368" s="91"/>
      <c r="J368" s="94"/>
      <c r="K368" s="94"/>
      <c r="L368" s="94"/>
      <c r="M368" s="147"/>
      <c r="N368" s="147"/>
      <c r="O368" s="147"/>
      <c r="P368" s="147"/>
      <c r="Q368" s="94"/>
      <c r="R368" s="91"/>
      <c r="S368" s="148"/>
      <c r="T368" s="91"/>
      <c r="U368" s="101"/>
      <c r="V368" s="101"/>
      <c r="W368" s="101"/>
    </row>
    <row r="369">
      <c r="A369" s="94"/>
      <c r="B369" s="138"/>
      <c r="C369" s="120"/>
      <c r="D369" s="120"/>
      <c r="E369" s="120"/>
      <c r="F369" s="91"/>
      <c r="G369" s="88"/>
      <c r="H369" s="94"/>
      <c r="I369" s="91"/>
      <c r="J369" s="94"/>
      <c r="K369" s="94"/>
      <c r="L369" s="94"/>
      <c r="M369" s="147"/>
      <c r="N369" s="147"/>
      <c r="O369" s="147"/>
      <c r="P369" s="147"/>
      <c r="Q369" s="94"/>
      <c r="R369" s="91"/>
      <c r="S369" s="148"/>
      <c r="T369" s="91"/>
      <c r="U369" s="101"/>
      <c r="V369" s="101"/>
      <c r="W369" s="101"/>
    </row>
    <row r="370">
      <c r="A370" s="94"/>
      <c r="B370" s="138"/>
      <c r="C370" s="120"/>
      <c r="D370" s="120"/>
      <c r="E370" s="120"/>
      <c r="F370" s="91"/>
      <c r="G370" s="88"/>
      <c r="H370" s="94"/>
      <c r="I370" s="91"/>
      <c r="J370" s="94"/>
      <c r="K370" s="94"/>
      <c r="L370" s="94"/>
      <c r="M370" s="147"/>
      <c r="N370" s="147"/>
      <c r="O370" s="147"/>
      <c r="P370" s="147"/>
      <c r="Q370" s="94"/>
      <c r="R370" s="91"/>
      <c r="S370" s="148"/>
      <c r="T370" s="91"/>
      <c r="U370" s="101"/>
      <c r="V370" s="101"/>
      <c r="W370" s="101"/>
    </row>
    <row r="371">
      <c r="A371" s="94"/>
      <c r="B371" s="138"/>
      <c r="C371" s="120"/>
      <c r="D371" s="120"/>
      <c r="E371" s="120"/>
      <c r="F371" s="91"/>
      <c r="G371" s="88"/>
      <c r="H371" s="94"/>
      <c r="I371" s="91"/>
      <c r="J371" s="94"/>
      <c r="K371" s="94"/>
      <c r="L371" s="94"/>
      <c r="M371" s="147"/>
      <c r="N371" s="147"/>
      <c r="O371" s="147"/>
      <c r="P371" s="147"/>
      <c r="Q371" s="94"/>
      <c r="R371" s="91"/>
      <c r="S371" s="148"/>
      <c r="T371" s="91"/>
      <c r="U371" s="101"/>
      <c r="V371" s="101"/>
      <c r="W371" s="101"/>
    </row>
    <row r="372">
      <c r="A372" s="94"/>
      <c r="B372" s="138"/>
      <c r="C372" s="120"/>
      <c r="D372" s="120"/>
      <c r="E372" s="120"/>
      <c r="F372" s="91"/>
      <c r="G372" s="88"/>
      <c r="H372" s="94"/>
      <c r="I372" s="91"/>
      <c r="J372" s="94"/>
      <c r="K372" s="94"/>
      <c r="L372" s="94"/>
      <c r="M372" s="147"/>
      <c r="N372" s="147"/>
      <c r="O372" s="147"/>
      <c r="P372" s="147"/>
      <c r="Q372" s="94"/>
      <c r="R372" s="91"/>
      <c r="S372" s="148"/>
      <c r="T372" s="91"/>
      <c r="U372" s="101"/>
      <c r="V372" s="101"/>
      <c r="W372" s="101"/>
    </row>
    <row r="373">
      <c r="A373" s="94"/>
      <c r="B373" s="138"/>
      <c r="C373" s="120"/>
      <c r="D373" s="120"/>
      <c r="E373" s="120"/>
      <c r="F373" s="91"/>
      <c r="G373" s="88"/>
      <c r="H373" s="94"/>
      <c r="I373" s="91"/>
      <c r="J373" s="94"/>
      <c r="K373" s="94"/>
      <c r="L373" s="94"/>
      <c r="M373" s="147"/>
      <c r="N373" s="147"/>
      <c r="O373" s="147"/>
      <c r="P373" s="147"/>
      <c r="Q373" s="94"/>
      <c r="R373" s="91"/>
      <c r="S373" s="148"/>
      <c r="T373" s="91"/>
      <c r="U373" s="101"/>
      <c r="V373" s="101"/>
      <c r="W373" s="101"/>
    </row>
    <row r="374">
      <c r="A374" s="94"/>
      <c r="B374" s="138"/>
      <c r="C374" s="120"/>
      <c r="D374" s="120"/>
      <c r="E374" s="120"/>
      <c r="F374" s="91"/>
      <c r="G374" s="88"/>
      <c r="H374" s="94"/>
      <c r="I374" s="91"/>
      <c r="J374" s="94"/>
      <c r="K374" s="94"/>
      <c r="L374" s="94"/>
      <c r="M374" s="147"/>
      <c r="N374" s="147"/>
      <c r="O374" s="147"/>
      <c r="P374" s="147"/>
      <c r="Q374" s="94"/>
      <c r="R374" s="91"/>
      <c r="S374" s="148"/>
      <c r="T374" s="91"/>
      <c r="U374" s="101"/>
      <c r="V374" s="101"/>
      <c r="W374" s="101"/>
    </row>
    <row r="375">
      <c r="A375" s="94"/>
      <c r="B375" s="138"/>
      <c r="C375" s="120"/>
      <c r="D375" s="120"/>
      <c r="E375" s="120"/>
      <c r="F375" s="91"/>
      <c r="G375" s="88"/>
      <c r="H375" s="94"/>
      <c r="I375" s="91"/>
      <c r="J375" s="94"/>
      <c r="K375" s="94"/>
      <c r="L375" s="94"/>
      <c r="M375" s="147"/>
      <c r="N375" s="147"/>
      <c r="O375" s="147"/>
      <c r="P375" s="147"/>
      <c r="Q375" s="94"/>
      <c r="R375" s="91"/>
      <c r="S375" s="148"/>
      <c r="T375" s="91"/>
      <c r="U375" s="101"/>
      <c r="V375" s="101"/>
      <c r="W375" s="101"/>
    </row>
    <row r="376">
      <c r="A376" s="94"/>
      <c r="B376" s="138"/>
      <c r="C376" s="120"/>
      <c r="D376" s="120"/>
      <c r="E376" s="120"/>
      <c r="F376" s="91"/>
      <c r="G376" s="88"/>
      <c r="H376" s="94"/>
      <c r="I376" s="91"/>
      <c r="J376" s="94"/>
      <c r="K376" s="94"/>
      <c r="L376" s="94"/>
      <c r="M376" s="147"/>
      <c r="N376" s="147"/>
      <c r="O376" s="147"/>
      <c r="P376" s="147"/>
      <c r="Q376" s="94"/>
      <c r="R376" s="91"/>
      <c r="S376" s="148"/>
      <c r="T376" s="91"/>
      <c r="U376" s="101"/>
      <c r="V376" s="101"/>
      <c r="W376" s="101"/>
    </row>
    <row r="377">
      <c r="A377" s="94"/>
      <c r="B377" s="138"/>
      <c r="C377" s="120"/>
      <c r="D377" s="120"/>
      <c r="E377" s="120"/>
      <c r="F377" s="91"/>
      <c r="G377" s="88"/>
      <c r="H377" s="94"/>
      <c r="I377" s="91"/>
      <c r="J377" s="94"/>
      <c r="K377" s="94"/>
      <c r="L377" s="94"/>
      <c r="M377" s="147"/>
      <c r="N377" s="147"/>
      <c r="O377" s="147"/>
      <c r="P377" s="147"/>
      <c r="Q377" s="94"/>
      <c r="R377" s="91"/>
      <c r="S377" s="148"/>
      <c r="T377" s="91"/>
      <c r="U377" s="101"/>
      <c r="V377" s="101"/>
      <c r="W377" s="101"/>
    </row>
    <row r="378">
      <c r="A378" s="94"/>
      <c r="B378" s="138"/>
      <c r="C378" s="120"/>
      <c r="D378" s="120"/>
      <c r="E378" s="120"/>
      <c r="F378" s="91"/>
      <c r="G378" s="88"/>
      <c r="H378" s="94"/>
      <c r="I378" s="91"/>
      <c r="J378" s="94"/>
      <c r="K378" s="94"/>
      <c r="L378" s="94"/>
      <c r="M378" s="147"/>
      <c r="N378" s="147"/>
      <c r="O378" s="147"/>
      <c r="P378" s="147"/>
      <c r="Q378" s="94"/>
      <c r="R378" s="91"/>
      <c r="S378" s="148"/>
      <c r="T378" s="91"/>
      <c r="U378" s="101"/>
      <c r="V378" s="101"/>
      <c r="W378" s="101"/>
    </row>
    <row r="379">
      <c r="A379" s="94"/>
      <c r="B379" s="138"/>
      <c r="C379" s="120"/>
      <c r="D379" s="120"/>
      <c r="E379" s="120"/>
      <c r="F379" s="91"/>
      <c r="G379" s="88"/>
      <c r="H379" s="94"/>
      <c r="I379" s="91"/>
      <c r="J379" s="94"/>
      <c r="K379" s="94"/>
      <c r="L379" s="94"/>
      <c r="M379" s="147"/>
      <c r="N379" s="147"/>
      <c r="O379" s="147"/>
      <c r="P379" s="147"/>
      <c r="Q379" s="94"/>
      <c r="R379" s="91"/>
      <c r="S379" s="148"/>
      <c r="T379" s="91"/>
      <c r="U379" s="101"/>
      <c r="V379" s="101"/>
      <c r="W379" s="101"/>
    </row>
    <row r="380">
      <c r="A380" s="94"/>
      <c r="B380" s="138"/>
      <c r="C380" s="120"/>
      <c r="D380" s="120"/>
      <c r="E380" s="120"/>
      <c r="F380" s="91"/>
      <c r="G380" s="88"/>
      <c r="H380" s="94"/>
      <c r="I380" s="91"/>
      <c r="J380" s="94"/>
      <c r="K380" s="94"/>
      <c r="L380" s="94"/>
      <c r="M380" s="147"/>
      <c r="N380" s="147"/>
      <c r="O380" s="147"/>
      <c r="P380" s="147"/>
      <c r="Q380" s="94"/>
      <c r="R380" s="91"/>
      <c r="S380" s="148"/>
      <c r="T380" s="91"/>
      <c r="U380" s="101"/>
      <c r="V380" s="101"/>
      <c r="W380" s="101"/>
    </row>
    <row r="381">
      <c r="A381" s="94"/>
      <c r="B381" s="138"/>
      <c r="C381" s="120"/>
      <c r="D381" s="120"/>
      <c r="E381" s="120"/>
      <c r="F381" s="91"/>
      <c r="G381" s="88"/>
      <c r="H381" s="94"/>
      <c r="I381" s="91"/>
      <c r="J381" s="94"/>
      <c r="K381" s="94"/>
      <c r="L381" s="94"/>
      <c r="M381" s="147"/>
      <c r="N381" s="147"/>
      <c r="O381" s="147"/>
      <c r="P381" s="147"/>
      <c r="Q381" s="94"/>
      <c r="R381" s="91"/>
      <c r="S381" s="148"/>
      <c r="T381" s="91"/>
      <c r="U381" s="101"/>
      <c r="V381" s="101"/>
      <c r="W381" s="101"/>
    </row>
    <row r="382">
      <c r="A382" s="94"/>
      <c r="B382" s="138"/>
      <c r="C382" s="120"/>
      <c r="D382" s="120"/>
      <c r="E382" s="120"/>
      <c r="F382" s="91"/>
      <c r="G382" s="88"/>
      <c r="H382" s="94"/>
      <c r="I382" s="91"/>
      <c r="J382" s="94"/>
      <c r="K382" s="94"/>
      <c r="L382" s="94"/>
      <c r="M382" s="147"/>
      <c r="N382" s="147"/>
      <c r="O382" s="147"/>
      <c r="P382" s="147"/>
      <c r="Q382" s="94"/>
      <c r="R382" s="91"/>
      <c r="S382" s="148"/>
      <c r="T382" s="91"/>
      <c r="U382" s="101"/>
      <c r="V382" s="101"/>
      <c r="W382" s="101"/>
    </row>
    <row r="383">
      <c r="A383" s="94"/>
      <c r="B383" s="138"/>
      <c r="C383" s="120"/>
      <c r="D383" s="120"/>
      <c r="E383" s="120"/>
      <c r="F383" s="91"/>
      <c r="G383" s="88"/>
      <c r="H383" s="94"/>
      <c r="I383" s="91"/>
      <c r="J383" s="94"/>
      <c r="K383" s="94"/>
      <c r="L383" s="94"/>
      <c r="M383" s="147"/>
      <c r="N383" s="147"/>
      <c r="O383" s="147"/>
      <c r="P383" s="147"/>
      <c r="Q383" s="94"/>
      <c r="R383" s="91"/>
      <c r="S383" s="148"/>
      <c r="T383" s="91"/>
      <c r="U383" s="101"/>
      <c r="V383" s="101"/>
      <c r="W383" s="101"/>
    </row>
    <row r="384">
      <c r="A384" s="94"/>
      <c r="B384" s="138"/>
      <c r="C384" s="120"/>
      <c r="D384" s="120"/>
      <c r="E384" s="120"/>
      <c r="F384" s="91"/>
      <c r="G384" s="88"/>
      <c r="H384" s="94"/>
      <c r="I384" s="91"/>
      <c r="J384" s="94"/>
      <c r="K384" s="94"/>
      <c r="L384" s="94"/>
      <c r="M384" s="147"/>
      <c r="N384" s="147"/>
      <c r="O384" s="147"/>
      <c r="P384" s="147"/>
      <c r="Q384" s="94"/>
      <c r="R384" s="91"/>
      <c r="S384" s="148"/>
      <c r="T384" s="91"/>
      <c r="U384" s="101"/>
      <c r="V384" s="101"/>
      <c r="W384" s="101"/>
    </row>
    <row r="385">
      <c r="A385" s="94"/>
      <c r="B385" s="138"/>
      <c r="C385" s="120"/>
      <c r="D385" s="120"/>
      <c r="E385" s="120"/>
      <c r="F385" s="91"/>
      <c r="G385" s="88"/>
      <c r="H385" s="94"/>
      <c r="I385" s="91"/>
      <c r="J385" s="94"/>
      <c r="K385" s="94"/>
      <c r="L385" s="94"/>
      <c r="M385" s="147"/>
      <c r="N385" s="147"/>
      <c r="O385" s="147"/>
      <c r="P385" s="147"/>
      <c r="Q385" s="94"/>
      <c r="R385" s="91"/>
      <c r="S385" s="148"/>
      <c r="T385" s="91"/>
      <c r="U385" s="101"/>
      <c r="V385" s="101"/>
      <c r="W385" s="101"/>
    </row>
    <row r="386">
      <c r="A386" s="94"/>
      <c r="B386" s="138"/>
      <c r="C386" s="120"/>
      <c r="D386" s="120"/>
      <c r="E386" s="120"/>
      <c r="F386" s="91"/>
      <c r="G386" s="88"/>
      <c r="H386" s="94"/>
      <c r="I386" s="91"/>
      <c r="J386" s="94"/>
      <c r="K386" s="94"/>
      <c r="L386" s="94"/>
      <c r="M386" s="147"/>
      <c r="N386" s="147"/>
      <c r="O386" s="147"/>
      <c r="P386" s="147"/>
      <c r="Q386" s="94"/>
      <c r="R386" s="91"/>
      <c r="S386" s="148"/>
      <c r="T386" s="91"/>
      <c r="U386" s="101"/>
      <c r="V386" s="101"/>
      <c r="W386" s="101"/>
    </row>
    <row r="387">
      <c r="A387" s="94"/>
      <c r="B387" s="138"/>
      <c r="C387" s="120"/>
      <c r="D387" s="120"/>
      <c r="E387" s="120"/>
      <c r="F387" s="91"/>
      <c r="G387" s="88"/>
      <c r="H387" s="94"/>
      <c r="I387" s="91"/>
      <c r="J387" s="94"/>
      <c r="K387" s="94"/>
      <c r="L387" s="94"/>
      <c r="M387" s="147"/>
      <c r="N387" s="147"/>
      <c r="O387" s="147"/>
      <c r="P387" s="147"/>
      <c r="Q387" s="94"/>
      <c r="R387" s="91"/>
      <c r="S387" s="148"/>
      <c r="T387" s="91"/>
      <c r="U387" s="101"/>
      <c r="V387" s="101"/>
      <c r="W387" s="101"/>
    </row>
    <row r="388">
      <c r="A388" s="94"/>
      <c r="B388" s="138"/>
      <c r="C388" s="120"/>
      <c r="D388" s="120"/>
      <c r="E388" s="120"/>
      <c r="F388" s="91"/>
      <c r="G388" s="88"/>
      <c r="H388" s="94"/>
      <c r="I388" s="91"/>
      <c r="J388" s="94"/>
      <c r="K388" s="94"/>
      <c r="L388" s="94"/>
      <c r="M388" s="147"/>
      <c r="N388" s="147"/>
      <c r="O388" s="147"/>
      <c r="P388" s="147"/>
      <c r="Q388" s="94"/>
      <c r="R388" s="91"/>
      <c r="S388" s="148"/>
      <c r="T388" s="91"/>
      <c r="U388" s="101"/>
      <c r="V388" s="101"/>
      <c r="W388" s="101"/>
    </row>
    <row r="389">
      <c r="A389" s="94"/>
      <c r="B389" s="138"/>
      <c r="C389" s="120"/>
      <c r="D389" s="120"/>
      <c r="E389" s="120"/>
      <c r="F389" s="91"/>
      <c r="G389" s="88"/>
      <c r="H389" s="94"/>
      <c r="I389" s="91"/>
      <c r="J389" s="94"/>
      <c r="K389" s="94"/>
      <c r="L389" s="94"/>
      <c r="M389" s="147"/>
      <c r="N389" s="147"/>
      <c r="O389" s="147"/>
      <c r="P389" s="147"/>
      <c r="Q389" s="94"/>
      <c r="R389" s="91"/>
      <c r="S389" s="148"/>
      <c r="T389" s="91"/>
      <c r="U389" s="101"/>
      <c r="V389" s="101"/>
      <c r="W389" s="101"/>
    </row>
    <row r="390">
      <c r="A390" s="94"/>
      <c r="B390" s="138"/>
      <c r="C390" s="120"/>
      <c r="D390" s="120"/>
      <c r="E390" s="120"/>
      <c r="F390" s="91"/>
      <c r="G390" s="88"/>
      <c r="H390" s="94"/>
      <c r="I390" s="91"/>
      <c r="J390" s="94"/>
      <c r="K390" s="94"/>
      <c r="L390" s="94"/>
      <c r="M390" s="147"/>
      <c r="N390" s="147"/>
      <c r="O390" s="147"/>
      <c r="P390" s="147"/>
      <c r="Q390" s="94"/>
      <c r="R390" s="91"/>
      <c r="S390" s="148"/>
      <c r="T390" s="91"/>
      <c r="U390" s="101"/>
      <c r="V390" s="101"/>
      <c r="W390" s="101"/>
    </row>
    <row r="391">
      <c r="A391" s="94"/>
      <c r="B391" s="138"/>
      <c r="C391" s="120"/>
      <c r="D391" s="120"/>
      <c r="E391" s="120"/>
      <c r="F391" s="91"/>
      <c r="G391" s="88"/>
      <c r="H391" s="94"/>
      <c r="I391" s="91"/>
      <c r="J391" s="94"/>
      <c r="K391" s="94"/>
      <c r="L391" s="94"/>
      <c r="M391" s="147"/>
      <c r="N391" s="147"/>
      <c r="O391" s="147"/>
      <c r="P391" s="147"/>
      <c r="Q391" s="94"/>
      <c r="R391" s="91"/>
      <c r="S391" s="148"/>
      <c r="T391" s="91"/>
      <c r="U391" s="101"/>
      <c r="V391" s="101"/>
      <c r="W391" s="101"/>
    </row>
    <row r="392">
      <c r="A392" s="94"/>
      <c r="B392" s="138"/>
      <c r="C392" s="120"/>
      <c r="D392" s="120"/>
      <c r="E392" s="120"/>
      <c r="F392" s="91"/>
      <c r="G392" s="88"/>
      <c r="H392" s="94"/>
      <c r="I392" s="91"/>
      <c r="J392" s="94"/>
      <c r="K392" s="94"/>
      <c r="L392" s="94"/>
      <c r="M392" s="147"/>
      <c r="N392" s="147"/>
      <c r="O392" s="147"/>
      <c r="P392" s="147"/>
      <c r="Q392" s="94"/>
      <c r="R392" s="91"/>
      <c r="S392" s="148"/>
      <c r="T392" s="91"/>
      <c r="U392" s="101"/>
      <c r="V392" s="101"/>
      <c r="W392" s="101"/>
    </row>
    <row r="393">
      <c r="A393" s="94"/>
      <c r="B393" s="138"/>
      <c r="C393" s="120"/>
      <c r="D393" s="120"/>
      <c r="E393" s="120"/>
      <c r="F393" s="91"/>
      <c r="G393" s="88"/>
      <c r="H393" s="94"/>
      <c r="I393" s="91"/>
      <c r="J393" s="94"/>
      <c r="K393" s="94"/>
      <c r="L393" s="94"/>
      <c r="M393" s="147"/>
      <c r="N393" s="147"/>
      <c r="O393" s="147"/>
      <c r="P393" s="147"/>
      <c r="Q393" s="94"/>
      <c r="R393" s="91"/>
      <c r="S393" s="148"/>
      <c r="T393" s="91"/>
      <c r="U393" s="101"/>
      <c r="V393" s="101"/>
      <c r="W393" s="101"/>
    </row>
    <row r="394">
      <c r="A394" s="94"/>
      <c r="B394" s="138"/>
      <c r="C394" s="120"/>
      <c r="D394" s="120"/>
      <c r="E394" s="120"/>
      <c r="F394" s="91"/>
      <c r="G394" s="88"/>
      <c r="H394" s="94"/>
      <c r="I394" s="91"/>
      <c r="J394" s="94"/>
      <c r="K394" s="94"/>
      <c r="L394" s="94"/>
      <c r="M394" s="147"/>
      <c r="N394" s="147"/>
      <c r="O394" s="147"/>
      <c r="P394" s="147"/>
      <c r="Q394" s="94"/>
      <c r="R394" s="91"/>
      <c r="S394" s="148"/>
      <c r="T394" s="91"/>
      <c r="U394" s="101"/>
      <c r="V394" s="101"/>
      <c r="W394" s="101"/>
    </row>
    <row r="395">
      <c r="A395" s="94"/>
      <c r="B395" s="138"/>
      <c r="C395" s="120"/>
      <c r="D395" s="120"/>
      <c r="E395" s="120"/>
      <c r="F395" s="91"/>
      <c r="G395" s="88"/>
      <c r="H395" s="94"/>
      <c r="I395" s="91"/>
      <c r="J395" s="94"/>
      <c r="K395" s="94"/>
      <c r="L395" s="94"/>
      <c r="M395" s="147"/>
      <c r="N395" s="147"/>
      <c r="O395" s="147"/>
      <c r="P395" s="147"/>
      <c r="Q395" s="94"/>
      <c r="R395" s="91"/>
      <c r="S395" s="148"/>
      <c r="T395" s="91"/>
      <c r="U395" s="101"/>
      <c r="V395" s="101"/>
      <c r="W395" s="101"/>
    </row>
    <row r="396">
      <c r="A396" s="94"/>
      <c r="B396" s="138"/>
      <c r="C396" s="120"/>
      <c r="D396" s="120"/>
      <c r="E396" s="120"/>
      <c r="F396" s="91"/>
      <c r="G396" s="88"/>
      <c r="H396" s="94"/>
      <c r="I396" s="91"/>
      <c r="J396" s="94"/>
      <c r="K396" s="94"/>
      <c r="L396" s="94"/>
      <c r="M396" s="147"/>
      <c r="N396" s="147"/>
      <c r="O396" s="147"/>
      <c r="P396" s="147"/>
      <c r="Q396" s="94"/>
      <c r="R396" s="91"/>
      <c r="S396" s="148"/>
      <c r="T396" s="91"/>
      <c r="U396" s="101"/>
      <c r="V396" s="101"/>
      <c r="W396" s="101"/>
    </row>
    <row r="397">
      <c r="A397" s="94"/>
      <c r="B397" s="138"/>
      <c r="C397" s="120"/>
      <c r="D397" s="120"/>
      <c r="E397" s="120"/>
      <c r="F397" s="91"/>
      <c r="G397" s="88"/>
      <c r="H397" s="94"/>
      <c r="I397" s="91"/>
      <c r="J397" s="94"/>
      <c r="K397" s="94"/>
      <c r="L397" s="94"/>
      <c r="M397" s="147"/>
      <c r="N397" s="147"/>
      <c r="O397" s="147"/>
      <c r="P397" s="147"/>
      <c r="Q397" s="94"/>
      <c r="R397" s="91"/>
      <c r="S397" s="148"/>
      <c r="T397" s="91"/>
      <c r="U397" s="101"/>
      <c r="V397" s="101"/>
      <c r="W397" s="101"/>
    </row>
    <row r="398">
      <c r="A398" s="94"/>
      <c r="B398" s="138"/>
      <c r="C398" s="120"/>
      <c r="D398" s="120"/>
      <c r="E398" s="120"/>
      <c r="F398" s="91"/>
      <c r="G398" s="88"/>
      <c r="H398" s="94"/>
      <c r="I398" s="91"/>
      <c r="J398" s="94"/>
      <c r="K398" s="94"/>
      <c r="L398" s="94"/>
      <c r="M398" s="147"/>
      <c r="N398" s="147"/>
      <c r="O398" s="147"/>
      <c r="P398" s="147"/>
      <c r="Q398" s="94"/>
      <c r="R398" s="91"/>
      <c r="S398" s="148"/>
      <c r="T398" s="91"/>
      <c r="U398" s="101"/>
      <c r="V398" s="101"/>
      <c r="W398" s="101"/>
    </row>
    <row r="399">
      <c r="A399" s="94"/>
      <c r="B399" s="138"/>
      <c r="C399" s="120"/>
      <c r="D399" s="120"/>
      <c r="E399" s="120"/>
      <c r="F399" s="91"/>
      <c r="G399" s="88"/>
      <c r="H399" s="94"/>
      <c r="I399" s="91"/>
      <c r="J399" s="94"/>
      <c r="K399" s="94"/>
      <c r="L399" s="94"/>
      <c r="M399" s="147"/>
      <c r="N399" s="147"/>
      <c r="O399" s="147"/>
      <c r="P399" s="147"/>
      <c r="Q399" s="94"/>
      <c r="R399" s="91"/>
      <c r="S399" s="148"/>
      <c r="T399" s="91"/>
      <c r="U399" s="101"/>
      <c r="V399" s="101"/>
      <c r="W399" s="101"/>
    </row>
    <row r="400">
      <c r="A400" s="94"/>
      <c r="B400" s="138"/>
      <c r="C400" s="120"/>
      <c r="D400" s="120"/>
      <c r="E400" s="120"/>
      <c r="F400" s="91"/>
      <c r="G400" s="88"/>
      <c r="H400" s="94"/>
      <c r="I400" s="91"/>
      <c r="J400" s="94"/>
      <c r="K400" s="94"/>
      <c r="L400" s="94"/>
      <c r="M400" s="147"/>
      <c r="N400" s="147"/>
      <c r="O400" s="147"/>
      <c r="P400" s="147"/>
      <c r="Q400" s="94"/>
      <c r="R400" s="91"/>
      <c r="S400" s="148"/>
      <c r="T400" s="91"/>
      <c r="U400" s="101"/>
      <c r="V400" s="101"/>
      <c r="W400" s="101"/>
    </row>
    <row r="401">
      <c r="A401" s="94"/>
      <c r="B401" s="138"/>
      <c r="C401" s="120"/>
      <c r="D401" s="120"/>
      <c r="E401" s="120"/>
      <c r="F401" s="91"/>
      <c r="G401" s="88"/>
      <c r="H401" s="94"/>
      <c r="I401" s="91"/>
      <c r="J401" s="94"/>
      <c r="K401" s="94"/>
      <c r="L401" s="94"/>
      <c r="M401" s="147"/>
      <c r="N401" s="147"/>
      <c r="O401" s="147"/>
      <c r="P401" s="147"/>
      <c r="Q401" s="94"/>
      <c r="R401" s="91"/>
      <c r="S401" s="148"/>
      <c r="T401" s="91"/>
      <c r="U401" s="101"/>
      <c r="V401" s="101"/>
      <c r="W401" s="101"/>
    </row>
    <row r="402">
      <c r="A402" s="94"/>
      <c r="B402" s="138"/>
      <c r="C402" s="120"/>
      <c r="D402" s="120"/>
      <c r="E402" s="120"/>
      <c r="F402" s="91"/>
      <c r="G402" s="88"/>
      <c r="H402" s="94"/>
      <c r="I402" s="91"/>
      <c r="J402" s="94"/>
      <c r="K402" s="94"/>
      <c r="L402" s="94"/>
      <c r="M402" s="147"/>
      <c r="N402" s="147"/>
      <c r="O402" s="147"/>
      <c r="P402" s="147"/>
      <c r="Q402" s="94"/>
      <c r="R402" s="91"/>
      <c r="S402" s="148"/>
      <c r="T402" s="91"/>
      <c r="U402" s="101"/>
      <c r="V402" s="101"/>
      <c r="W402" s="101"/>
    </row>
    <row r="403">
      <c r="A403" s="94"/>
      <c r="B403" s="138"/>
      <c r="C403" s="120"/>
      <c r="D403" s="120"/>
      <c r="E403" s="120"/>
      <c r="F403" s="91"/>
      <c r="G403" s="88"/>
      <c r="H403" s="94"/>
      <c r="I403" s="91"/>
      <c r="J403" s="94"/>
      <c r="K403" s="94"/>
      <c r="L403" s="94"/>
      <c r="M403" s="147"/>
      <c r="N403" s="147"/>
      <c r="O403" s="147"/>
      <c r="P403" s="147"/>
      <c r="Q403" s="94"/>
      <c r="R403" s="91"/>
      <c r="S403" s="148"/>
      <c r="T403" s="91"/>
      <c r="U403" s="101"/>
      <c r="V403" s="101"/>
      <c r="W403" s="101"/>
    </row>
    <row r="404">
      <c r="A404" s="94"/>
      <c r="B404" s="138"/>
      <c r="C404" s="120"/>
      <c r="D404" s="120"/>
      <c r="E404" s="120"/>
      <c r="F404" s="91"/>
      <c r="G404" s="88"/>
      <c r="H404" s="94"/>
      <c r="I404" s="91"/>
      <c r="J404" s="94"/>
      <c r="K404" s="94"/>
      <c r="L404" s="94"/>
      <c r="M404" s="147"/>
      <c r="N404" s="147"/>
      <c r="O404" s="147"/>
      <c r="P404" s="147"/>
      <c r="Q404" s="94"/>
      <c r="R404" s="91"/>
      <c r="S404" s="148"/>
      <c r="T404" s="91"/>
      <c r="U404" s="101"/>
      <c r="V404" s="101"/>
      <c r="W404" s="101"/>
    </row>
    <row r="405">
      <c r="A405" s="94"/>
      <c r="B405" s="138"/>
      <c r="C405" s="120"/>
      <c r="D405" s="120"/>
      <c r="E405" s="120"/>
      <c r="F405" s="91"/>
      <c r="G405" s="88"/>
      <c r="H405" s="94"/>
      <c r="I405" s="91"/>
      <c r="J405" s="94"/>
      <c r="K405" s="94"/>
      <c r="L405" s="94"/>
      <c r="M405" s="147"/>
      <c r="N405" s="147"/>
      <c r="O405" s="147"/>
      <c r="P405" s="147"/>
      <c r="Q405" s="94"/>
      <c r="R405" s="91"/>
      <c r="S405" s="148"/>
      <c r="T405" s="91"/>
      <c r="U405" s="101"/>
      <c r="V405" s="101"/>
      <c r="W405" s="101"/>
    </row>
    <row r="406">
      <c r="A406" s="94"/>
      <c r="B406" s="138"/>
      <c r="C406" s="120"/>
      <c r="D406" s="120"/>
      <c r="E406" s="120"/>
      <c r="F406" s="91"/>
      <c r="G406" s="88"/>
      <c r="H406" s="94"/>
      <c r="I406" s="91"/>
      <c r="J406" s="94"/>
      <c r="K406" s="94"/>
      <c r="L406" s="94"/>
      <c r="M406" s="147"/>
      <c r="N406" s="147"/>
      <c r="O406" s="147"/>
      <c r="P406" s="147"/>
      <c r="Q406" s="94"/>
      <c r="R406" s="91"/>
      <c r="S406" s="148"/>
      <c r="T406" s="91"/>
      <c r="U406" s="101"/>
      <c r="V406" s="101"/>
      <c r="W406" s="101"/>
    </row>
    <row r="407">
      <c r="A407" s="94"/>
      <c r="B407" s="138"/>
      <c r="C407" s="120"/>
      <c r="D407" s="120"/>
      <c r="E407" s="120"/>
      <c r="F407" s="91"/>
      <c r="G407" s="88"/>
      <c r="H407" s="94"/>
      <c r="I407" s="91"/>
      <c r="J407" s="94"/>
      <c r="K407" s="94"/>
      <c r="L407" s="94"/>
      <c r="M407" s="147"/>
      <c r="N407" s="147"/>
      <c r="O407" s="147"/>
      <c r="P407" s="147"/>
      <c r="Q407" s="94"/>
      <c r="R407" s="91"/>
      <c r="S407" s="148"/>
      <c r="T407" s="91"/>
      <c r="U407" s="101"/>
      <c r="V407" s="101"/>
      <c r="W407" s="101"/>
    </row>
    <row r="408">
      <c r="A408" s="94"/>
      <c r="B408" s="138"/>
      <c r="C408" s="120"/>
      <c r="D408" s="120"/>
      <c r="E408" s="120"/>
      <c r="F408" s="91"/>
      <c r="G408" s="88"/>
      <c r="H408" s="94"/>
      <c r="I408" s="91"/>
      <c r="J408" s="94"/>
      <c r="K408" s="94"/>
      <c r="L408" s="94"/>
      <c r="M408" s="147"/>
      <c r="N408" s="147"/>
      <c r="O408" s="147"/>
      <c r="P408" s="147"/>
      <c r="Q408" s="94"/>
      <c r="R408" s="91"/>
      <c r="S408" s="148"/>
      <c r="T408" s="91"/>
      <c r="U408" s="101"/>
      <c r="V408" s="101"/>
      <c r="W408" s="101"/>
    </row>
    <row r="409">
      <c r="A409" s="94"/>
      <c r="B409" s="138"/>
      <c r="C409" s="120"/>
      <c r="D409" s="120"/>
      <c r="E409" s="120"/>
      <c r="F409" s="91"/>
      <c r="G409" s="88"/>
      <c r="H409" s="94"/>
      <c r="I409" s="91"/>
      <c r="J409" s="94"/>
      <c r="K409" s="94"/>
      <c r="L409" s="94"/>
      <c r="M409" s="147"/>
      <c r="N409" s="147"/>
      <c r="O409" s="147"/>
      <c r="P409" s="147"/>
      <c r="Q409" s="94"/>
      <c r="R409" s="91"/>
      <c r="S409" s="148"/>
      <c r="T409" s="91"/>
      <c r="U409" s="101"/>
      <c r="V409" s="101"/>
      <c r="W409" s="101"/>
    </row>
    <row r="410">
      <c r="A410" s="94"/>
      <c r="B410" s="138"/>
      <c r="C410" s="120"/>
      <c r="D410" s="120"/>
      <c r="E410" s="120"/>
      <c r="F410" s="91"/>
      <c r="G410" s="88"/>
      <c r="H410" s="94"/>
      <c r="I410" s="91"/>
      <c r="J410" s="94"/>
      <c r="K410" s="94"/>
      <c r="L410" s="94"/>
      <c r="M410" s="147"/>
      <c r="N410" s="147"/>
      <c r="O410" s="147"/>
      <c r="P410" s="147"/>
      <c r="Q410" s="94"/>
      <c r="R410" s="91"/>
      <c r="S410" s="148"/>
      <c r="T410" s="91"/>
      <c r="U410" s="101"/>
      <c r="V410" s="101"/>
      <c r="W410" s="101"/>
    </row>
    <row r="411">
      <c r="A411" s="94"/>
      <c r="B411" s="138"/>
      <c r="C411" s="120"/>
      <c r="D411" s="120"/>
      <c r="E411" s="120"/>
      <c r="F411" s="91"/>
      <c r="G411" s="88"/>
      <c r="H411" s="94"/>
      <c r="I411" s="91"/>
      <c r="J411" s="94"/>
      <c r="K411" s="94"/>
      <c r="L411" s="94"/>
      <c r="M411" s="147"/>
      <c r="N411" s="147"/>
      <c r="O411" s="147"/>
      <c r="P411" s="147"/>
      <c r="Q411" s="94"/>
      <c r="R411" s="91"/>
      <c r="S411" s="148"/>
      <c r="T411" s="91"/>
      <c r="U411" s="101"/>
      <c r="V411" s="101"/>
      <c r="W411" s="101"/>
    </row>
    <row r="412">
      <c r="A412" s="94"/>
      <c r="B412" s="138"/>
      <c r="C412" s="120"/>
      <c r="D412" s="120"/>
      <c r="E412" s="120"/>
      <c r="F412" s="91"/>
      <c r="G412" s="88"/>
      <c r="H412" s="94"/>
      <c r="I412" s="91"/>
      <c r="J412" s="94"/>
      <c r="K412" s="94"/>
      <c r="L412" s="94"/>
      <c r="M412" s="147"/>
      <c r="N412" s="147"/>
      <c r="O412" s="147"/>
      <c r="P412" s="147"/>
      <c r="Q412" s="94"/>
      <c r="R412" s="91"/>
      <c r="S412" s="148"/>
      <c r="T412" s="91"/>
      <c r="U412" s="101"/>
      <c r="V412" s="101"/>
      <c r="W412" s="101"/>
    </row>
    <row r="413">
      <c r="A413" s="94"/>
      <c r="B413" s="138"/>
      <c r="C413" s="120"/>
      <c r="D413" s="120"/>
      <c r="E413" s="120"/>
      <c r="F413" s="91"/>
      <c r="G413" s="88"/>
      <c r="H413" s="94"/>
      <c r="I413" s="91"/>
      <c r="J413" s="94"/>
      <c r="K413" s="94"/>
      <c r="L413" s="94"/>
      <c r="M413" s="147"/>
      <c r="N413" s="147"/>
      <c r="O413" s="147"/>
      <c r="P413" s="147"/>
      <c r="Q413" s="94"/>
      <c r="R413" s="91"/>
      <c r="S413" s="148"/>
      <c r="T413" s="91"/>
      <c r="U413" s="101"/>
      <c r="V413" s="101"/>
      <c r="W413" s="101"/>
    </row>
    <row r="414">
      <c r="A414" s="94"/>
      <c r="B414" s="138"/>
      <c r="C414" s="120"/>
      <c r="D414" s="120"/>
      <c r="E414" s="120"/>
      <c r="F414" s="91"/>
      <c r="G414" s="88"/>
      <c r="H414" s="94"/>
      <c r="I414" s="91"/>
      <c r="J414" s="94"/>
      <c r="K414" s="94"/>
      <c r="L414" s="94"/>
      <c r="M414" s="147"/>
      <c r="N414" s="147"/>
      <c r="O414" s="147"/>
      <c r="P414" s="147"/>
      <c r="Q414" s="94"/>
      <c r="R414" s="91"/>
      <c r="S414" s="148"/>
      <c r="T414" s="91"/>
      <c r="U414" s="101"/>
      <c r="V414" s="101"/>
      <c r="W414" s="101"/>
    </row>
    <row r="415">
      <c r="A415" s="94"/>
      <c r="B415" s="138"/>
      <c r="C415" s="120"/>
      <c r="D415" s="120"/>
      <c r="E415" s="120"/>
      <c r="F415" s="91"/>
      <c r="G415" s="88"/>
      <c r="H415" s="94"/>
      <c r="I415" s="91"/>
      <c r="J415" s="94"/>
      <c r="K415" s="94"/>
      <c r="L415" s="94"/>
      <c r="M415" s="147"/>
      <c r="N415" s="147"/>
      <c r="O415" s="147"/>
      <c r="P415" s="147"/>
      <c r="Q415" s="94"/>
      <c r="R415" s="91"/>
      <c r="S415" s="148"/>
      <c r="T415" s="91"/>
      <c r="U415" s="101"/>
      <c r="V415" s="101"/>
      <c r="W415" s="101"/>
    </row>
    <row r="416">
      <c r="A416" s="94"/>
      <c r="B416" s="138"/>
      <c r="C416" s="120"/>
      <c r="D416" s="120"/>
      <c r="E416" s="120"/>
      <c r="F416" s="91"/>
      <c r="G416" s="88"/>
      <c r="H416" s="94"/>
      <c r="I416" s="91"/>
      <c r="J416" s="94"/>
      <c r="K416" s="94"/>
      <c r="L416" s="94"/>
      <c r="M416" s="147"/>
      <c r="N416" s="147"/>
      <c r="O416" s="147"/>
      <c r="P416" s="147"/>
      <c r="Q416" s="94"/>
      <c r="R416" s="91"/>
      <c r="S416" s="148"/>
      <c r="T416" s="91"/>
      <c r="U416" s="101"/>
      <c r="V416" s="101"/>
      <c r="W416" s="101"/>
    </row>
    <row r="417">
      <c r="A417" s="94"/>
      <c r="B417" s="138"/>
      <c r="C417" s="120"/>
      <c r="D417" s="120"/>
      <c r="E417" s="120"/>
      <c r="F417" s="91"/>
      <c r="G417" s="88"/>
      <c r="H417" s="94"/>
      <c r="I417" s="91"/>
      <c r="J417" s="94"/>
      <c r="K417" s="94"/>
      <c r="L417" s="94"/>
      <c r="M417" s="147"/>
      <c r="N417" s="147"/>
      <c r="O417" s="147"/>
      <c r="P417" s="147"/>
      <c r="Q417" s="94"/>
      <c r="R417" s="91"/>
      <c r="S417" s="148"/>
      <c r="T417" s="91"/>
      <c r="U417" s="101"/>
      <c r="V417" s="101"/>
      <c r="W417" s="101"/>
    </row>
    <row r="418">
      <c r="A418" s="94"/>
      <c r="B418" s="138"/>
      <c r="C418" s="120"/>
      <c r="D418" s="120"/>
      <c r="E418" s="120"/>
      <c r="F418" s="91"/>
      <c r="G418" s="88"/>
      <c r="H418" s="94"/>
      <c r="I418" s="91"/>
      <c r="J418" s="94"/>
      <c r="K418" s="94"/>
      <c r="L418" s="94"/>
      <c r="M418" s="147"/>
      <c r="N418" s="147"/>
      <c r="O418" s="147"/>
      <c r="P418" s="147"/>
      <c r="Q418" s="94"/>
      <c r="R418" s="91"/>
      <c r="S418" s="148"/>
      <c r="T418" s="91"/>
      <c r="U418" s="101"/>
      <c r="V418" s="101"/>
      <c r="W418" s="101"/>
    </row>
    <row r="419">
      <c r="A419" s="94"/>
      <c r="B419" s="138"/>
      <c r="C419" s="120"/>
      <c r="D419" s="120"/>
      <c r="E419" s="120"/>
      <c r="F419" s="91"/>
      <c r="G419" s="88"/>
      <c r="H419" s="94"/>
      <c r="I419" s="91"/>
      <c r="J419" s="94"/>
      <c r="K419" s="94"/>
      <c r="L419" s="94"/>
      <c r="M419" s="147"/>
      <c r="N419" s="147"/>
      <c r="O419" s="147"/>
      <c r="P419" s="147"/>
      <c r="Q419" s="94"/>
      <c r="R419" s="91"/>
      <c r="S419" s="148"/>
      <c r="T419" s="91"/>
      <c r="U419" s="101"/>
      <c r="V419" s="101"/>
      <c r="W419" s="101"/>
    </row>
    <row r="420">
      <c r="A420" s="94"/>
      <c r="B420" s="138"/>
      <c r="C420" s="120"/>
      <c r="D420" s="120"/>
      <c r="E420" s="120"/>
      <c r="F420" s="91"/>
      <c r="G420" s="88"/>
      <c r="H420" s="94"/>
      <c r="I420" s="91"/>
      <c r="J420" s="94"/>
      <c r="K420" s="94"/>
      <c r="L420" s="94"/>
      <c r="M420" s="147"/>
      <c r="N420" s="147"/>
      <c r="O420" s="147"/>
      <c r="P420" s="147"/>
      <c r="Q420" s="94"/>
      <c r="R420" s="91"/>
      <c r="S420" s="148"/>
      <c r="T420" s="91"/>
      <c r="U420" s="101"/>
      <c r="V420" s="101"/>
      <c r="W420" s="101"/>
    </row>
    <row r="421">
      <c r="A421" s="94"/>
      <c r="B421" s="138"/>
      <c r="C421" s="120"/>
      <c r="D421" s="120"/>
      <c r="E421" s="120"/>
      <c r="F421" s="91"/>
      <c r="G421" s="88"/>
      <c r="H421" s="94"/>
      <c r="I421" s="91"/>
      <c r="J421" s="94"/>
      <c r="K421" s="94"/>
      <c r="L421" s="94"/>
      <c r="M421" s="147"/>
      <c r="N421" s="147"/>
      <c r="O421" s="147"/>
      <c r="P421" s="147"/>
      <c r="Q421" s="94"/>
      <c r="R421" s="91"/>
      <c r="S421" s="148"/>
      <c r="T421" s="91"/>
      <c r="U421" s="101"/>
      <c r="V421" s="101"/>
      <c r="W421" s="101"/>
    </row>
    <row r="422">
      <c r="A422" s="94"/>
      <c r="B422" s="138"/>
      <c r="C422" s="120"/>
      <c r="D422" s="120"/>
      <c r="E422" s="120"/>
      <c r="F422" s="91"/>
      <c r="G422" s="88"/>
      <c r="H422" s="94"/>
      <c r="I422" s="91"/>
      <c r="J422" s="94"/>
      <c r="K422" s="94"/>
      <c r="L422" s="94"/>
      <c r="M422" s="147"/>
      <c r="N422" s="147"/>
      <c r="O422" s="147"/>
      <c r="P422" s="147"/>
      <c r="Q422" s="94"/>
      <c r="R422" s="91"/>
      <c r="S422" s="148"/>
      <c r="T422" s="91"/>
      <c r="U422" s="101"/>
      <c r="V422" s="101"/>
      <c r="W422" s="101"/>
    </row>
    <row r="423">
      <c r="A423" s="94"/>
      <c r="B423" s="138"/>
      <c r="C423" s="120"/>
      <c r="D423" s="120"/>
      <c r="E423" s="120"/>
      <c r="F423" s="91"/>
      <c r="G423" s="88"/>
      <c r="H423" s="94"/>
      <c r="I423" s="91"/>
      <c r="J423" s="94"/>
      <c r="K423" s="94"/>
      <c r="L423" s="94"/>
      <c r="M423" s="147"/>
      <c r="N423" s="147"/>
      <c r="O423" s="147"/>
      <c r="P423" s="147"/>
      <c r="Q423" s="94"/>
      <c r="R423" s="91"/>
      <c r="S423" s="148"/>
      <c r="T423" s="91"/>
      <c r="U423" s="101"/>
      <c r="V423" s="101"/>
      <c r="W423" s="101"/>
    </row>
    <row r="424">
      <c r="A424" s="94"/>
      <c r="B424" s="138"/>
      <c r="C424" s="120"/>
      <c r="D424" s="120"/>
      <c r="E424" s="120"/>
      <c r="F424" s="91"/>
      <c r="G424" s="88"/>
      <c r="H424" s="94"/>
      <c r="I424" s="91"/>
      <c r="J424" s="94"/>
      <c r="K424" s="94"/>
      <c r="L424" s="94"/>
      <c r="M424" s="147"/>
      <c r="N424" s="147"/>
      <c r="O424" s="147"/>
      <c r="P424" s="147"/>
      <c r="Q424" s="94"/>
      <c r="R424" s="91"/>
      <c r="S424" s="148"/>
      <c r="T424" s="91"/>
      <c r="U424" s="101"/>
      <c r="V424" s="101"/>
      <c r="W424" s="101"/>
    </row>
    <row r="425">
      <c r="A425" s="94"/>
      <c r="B425" s="138"/>
      <c r="C425" s="120"/>
      <c r="D425" s="120"/>
      <c r="E425" s="120"/>
      <c r="F425" s="91"/>
      <c r="G425" s="88"/>
      <c r="H425" s="94"/>
      <c r="I425" s="91"/>
      <c r="J425" s="94"/>
      <c r="K425" s="94"/>
      <c r="L425" s="94"/>
      <c r="M425" s="147"/>
      <c r="N425" s="147"/>
      <c r="O425" s="147"/>
      <c r="P425" s="147"/>
      <c r="Q425" s="94"/>
      <c r="R425" s="91"/>
      <c r="S425" s="148"/>
      <c r="T425" s="91"/>
      <c r="U425" s="101"/>
      <c r="V425" s="101"/>
      <c r="W425" s="101"/>
    </row>
    <row r="426">
      <c r="A426" s="94"/>
      <c r="B426" s="138"/>
      <c r="C426" s="120"/>
      <c r="D426" s="120"/>
      <c r="E426" s="120"/>
      <c r="F426" s="91"/>
      <c r="G426" s="88"/>
      <c r="H426" s="94"/>
      <c r="I426" s="91"/>
      <c r="J426" s="94"/>
      <c r="K426" s="94"/>
      <c r="L426" s="94"/>
      <c r="M426" s="147"/>
      <c r="N426" s="147"/>
      <c r="O426" s="147"/>
      <c r="P426" s="147"/>
      <c r="Q426" s="94"/>
      <c r="R426" s="91"/>
      <c r="S426" s="148"/>
      <c r="T426" s="91"/>
      <c r="U426" s="101"/>
      <c r="V426" s="101"/>
      <c r="W426" s="101"/>
    </row>
    <row r="427">
      <c r="A427" s="94"/>
      <c r="B427" s="138"/>
      <c r="C427" s="120"/>
      <c r="D427" s="120"/>
      <c r="E427" s="120"/>
      <c r="F427" s="91"/>
      <c r="G427" s="88"/>
      <c r="H427" s="94"/>
      <c r="I427" s="91"/>
      <c r="J427" s="94"/>
      <c r="K427" s="94"/>
      <c r="L427" s="94"/>
      <c r="M427" s="147"/>
      <c r="N427" s="147"/>
      <c r="O427" s="147"/>
      <c r="P427" s="147"/>
      <c r="Q427" s="94"/>
      <c r="R427" s="91"/>
      <c r="S427" s="148"/>
      <c r="T427" s="91"/>
      <c r="U427" s="101"/>
      <c r="V427" s="101"/>
      <c r="W427" s="101"/>
    </row>
    <row r="428">
      <c r="A428" s="94"/>
      <c r="B428" s="138"/>
      <c r="C428" s="120"/>
      <c r="D428" s="120"/>
      <c r="E428" s="120"/>
      <c r="F428" s="91"/>
      <c r="G428" s="88"/>
      <c r="H428" s="94"/>
      <c r="I428" s="91"/>
      <c r="J428" s="94"/>
      <c r="K428" s="94"/>
      <c r="L428" s="94"/>
      <c r="M428" s="147"/>
      <c r="N428" s="147"/>
      <c r="O428" s="147"/>
      <c r="P428" s="147"/>
      <c r="Q428" s="94"/>
      <c r="R428" s="91"/>
      <c r="S428" s="148"/>
      <c r="T428" s="91"/>
      <c r="U428" s="101"/>
      <c r="V428" s="101"/>
      <c r="W428" s="101"/>
    </row>
    <row r="429">
      <c r="A429" s="94"/>
      <c r="B429" s="138"/>
      <c r="C429" s="120"/>
      <c r="D429" s="120"/>
      <c r="E429" s="120"/>
      <c r="F429" s="91"/>
      <c r="G429" s="88"/>
      <c r="H429" s="94"/>
      <c r="I429" s="91"/>
      <c r="J429" s="94"/>
      <c r="K429" s="94"/>
      <c r="L429" s="94"/>
      <c r="M429" s="147"/>
      <c r="N429" s="147"/>
      <c r="O429" s="147"/>
      <c r="P429" s="147"/>
      <c r="Q429" s="94"/>
      <c r="R429" s="91"/>
      <c r="S429" s="148"/>
      <c r="T429" s="91"/>
      <c r="U429" s="101"/>
      <c r="V429" s="101"/>
      <c r="W429" s="101"/>
    </row>
    <row r="430">
      <c r="A430" s="94"/>
      <c r="B430" s="138"/>
      <c r="C430" s="120"/>
      <c r="D430" s="120"/>
      <c r="E430" s="120"/>
      <c r="F430" s="91"/>
      <c r="G430" s="88"/>
      <c r="H430" s="94"/>
      <c r="I430" s="91"/>
      <c r="J430" s="94"/>
      <c r="K430" s="94"/>
      <c r="L430" s="94"/>
      <c r="M430" s="147"/>
      <c r="N430" s="147"/>
      <c r="O430" s="147"/>
      <c r="P430" s="147"/>
      <c r="Q430" s="94"/>
      <c r="R430" s="91"/>
      <c r="S430" s="148"/>
      <c r="T430" s="91"/>
      <c r="U430" s="101"/>
      <c r="V430" s="101"/>
      <c r="W430" s="101"/>
    </row>
    <row r="431">
      <c r="A431" s="94"/>
      <c r="B431" s="138"/>
      <c r="C431" s="120"/>
      <c r="D431" s="120"/>
      <c r="E431" s="120"/>
      <c r="F431" s="91"/>
      <c r="G431" s="88"/>
      <c r="H431" s="94"/>
      <c r="I431" s="91"/>
      <c r="J431" s="94"/>
      <c r="K431" s="94"/>
      <c r="L431" s="94"/>
      <c r="M431" s="147"/>
      <c r="N431" s="147"/>
      <c r="O431" s="147"/>
      <c r="P431" s="147"/>
      <c r="Q431" s="94"/>
      <c r="R431" s="91"/>
      <c r="S431" s="148"/>
      <c r="T431" s="91"/>
      <c r="U431" s="101"/>
      <c r="V431" s="101"/>
      <c r="W431" s="101"/>
    </row>
    <row r="432">
      <c r="A432" s="94"/>
      <c r="B432" s="138"/>
      <c r="C432" s="120"/>
      <c r="D432" s="120"/>
      <c r="E432" s="120"/>
      <c r="F432" s="91"/>
      <c r="G432" s="88"/>
      <c r="H432" s="94"/>
      <c r="I432" s="91"/>
      <c r="J432" s="94"/>
      <c r="K432" s="94"/>
      <c r="L432" s="94"/>
      <c r="M432" s="147"/>
      <c r="N432" s="147"/>
      <c r="O432" s="147"/>
      <c r="P432" s="147"/>
      <c r="Q432" s="94"/>
      <c r="R432" s="91"/>
      <c r="S432" s="148"/>
      <c r="T432" s="91"/>
      <c r="U432" s="101"/>
      <c r="V432" s="101"/>
      <c r="W432" s="101"/>
    </row>
    <row r="433">
      <c r="A433" s="94"/>
      <c r="B433" s="138"/>
      <c r="C433" s="120"/>
      <c r="D433" s="120"/>
      <c r="E433" s="120"/>
      <c r="F433" s="91"/>
      <c r="G433" s="88"/>
      <c r="H433" s="94"/>
      <c r="I433" s="91"/>
      <c r="J433" s="94"/>
      <c r="K433" s="94"/>
      <c r="L433" s="94"/>
      <c r="M433" s="147"/>
      <c r="N433" s="147"/>
      <c r="O433" s="147"/>
      <c r="P433" s="147"/>
      <c r="Q433" s="94"/>
      <c r="R433" s="91"/>
      <c r="S433" s="148"/>
      <c r="T433" s="91"/>
      <c r="U433" s="101"/>
      <c r="V433" s="101"/>
      <c r="W433" s="101"/>
    </row>
    <row r="434">
      <c r="A434" s="94"/>
      <c r="B434" s="138"/>
      <c r="C434" s="120"/>
      <c r="D434" s="120"/>
      <c r="E434" s="120"/>
      <c r="F434" s="91"/>
      <c r="G434" s="88"/>
      <c r="H434" s="94"/>
      <c r="I434" s="91"/>
      <c r="J434" s="94"/>
      <c r="K434" s="94"/>
      <c r="L434" s="94"/>
      <c r="M434" s="147"/>
      <c r="N434" s="147"/>
      <c r="O434" s="147"/>
      <c r="P434" s="147"/>
      <c r="Q434" s="94"/>
      <c r="R434" s="91"/>
      <c r="S434" s="148"/>
      <c r="T434" s="91"/>
      <c r="U434" s="101"/>
      <c r="V434" s="101"/>
      <c r="W434" s="101"/>
    </row>
    <row r="435">
      <c r="A435" s="94"/>
      <c r="B435" s="138"/>
      <c r="C435" s="120"/>
      <c r="D435" s="120"/>
      <c r="E435" s="120"/>
      <c r="F435" s="91"/>
      <c r="G435" s="88"/>
      <c r="H435" s="94"/>
      <c r="I435" s="91"/>
      <c r="J435" s="94"/>
      <c r="K435" s="94"/>
      <c r="L435" s="94"/>
      <c r="M435" s="147"/>
      <c r="N435" s="147"/>
      <c r="O435" s="147"/>
      <c r="P435" s="147"/>
      <c r="Q435" s="94"/>
      <c r="R435" s="91"/>
      <c r="S435" s="148"/>
      <c r="T435" s="91"/>
      <c r="U435" s="101"/>
      <c r="V435" s="101"/>
      <c r="W435" s="101"/>
    </row>
    <row r="436">
      <c r="A436" s="94"/>
      <c r="B436" s="138"/>
      <c r="C436" s="120"/>
      <c r="D436" s="120"/>
      <c r="E436" s="120"/>
      <c r="F436" s="91"/>
      <c r="G436" s="88"/>
      <c r="H436" s="94"/>
      <c r="I436" s="91"/>
      <c r="J436" s="94"/>
      <c r="K436" s="94"/>
      <c r="L436" s="94"/>
      <c r="M436" s="147"/>
      <c r="N436" s="147"/>
      <c r="O436" s="147"/>
      <c r="P436" s="147"/>
      <c r="Q436" s="94"/>
      <c r="R436" s="91"/>
      <c r="S436" s="148"/>
      <c r="T436" s="91"/>
      <c r="U436" s="101"/>
      <c r="V436" s="101"/>
      <c r="W436" s="101"/>
    </row>
    <row r="437">
      <c r="A437" s="94"/>
      <c r="B437" s="138"/>
      <c r="C437" s="120"/>
      <c r="D437" s="120"/>
      <c r="E437" s="120"/>
      <c r="F437" s="91"/>
      <c r="G437" s="88"/>
      <c r="H437" s="94"/>
      <c r="I437" s="91"/>
      <c r="J437" s="94"/>
      <c r="K437" s="94"/>
      <c r="L437" s="94"/>
      <c r="M437" s="147"/>
      <c r="N437" s="147"/>
      <c r="O437" s="147"/>
      <c r="P437" s="147"/>
      <c r="Q437" s="94"/>
      <c r="R437" s="91"/>
      <c r="S437" s="148"/>
      <c r="T437" s="91"/>
      <c r="U437" s="101"/>
      <c r="V437" s="101"/>
      <c r="W437" s="101"/>
    </row>
    <row r="438">
      <c r="A438" s="94"/>
      <c r="B438" s="138"/>
      <c r="C438" s="120"/>
      <c r="D438" s="120"/>
      <c r="E438" s="120"/>
      <c r="F438" s="91"/>
      <c r="G438" s="88"/>
      <c r="H438" s="94"/>
      <c r="I438" s="91"/>
      <c r="J438" s="94"/>
      <c r="K438" s="94"/>
      <c r="L438" s="94"/>
      <c r="M438" s="147"/>
      <c r="N438" s="147"/>
      <c r="O438" s="147"/>
      <c r="P438" s="147"/>
      <c r="Q438" s="94"/>
      <c r="R438" s="91"/>
      <c r="S438" s="148"/>
      <c r="T438" s="91"/>
      <c r="U438" s="101"/>
      <c r="V438" s="101"/>
      <c r="W438" s="101"/>
    </row>
    <row r="439">
      <c r="A439" s="94"/>
      <c r="B439" s="138"/>
      <c r="C439" s="120"/>
      <c r="D439" s="120"/>
      <c r="E439" s="120"/>
      <c r="F439" s="91"/>
      <c r="G439" s="88"/>
      <c r="H439" s="94"/>
      <c r="I439" s="91"/>
      <c r="J439" s="94"/>
      <c r="K439" s="94"/>
      <c r="L439" s="94"/>
      <c r="M439" s="147"/>
      <c r="N439" s="147"/>
      <c r="O439" s="147"/>
      <c r="P439" s="147"/>
      <c r="Q439" s="94"/>
      <c r="R439" s="91"/>
      <c r="S439" s="148"/>
      <c r="T439" s="91"/>
      <c r="U439" s="101"/>
      <c r="V439" s="101"/>
      <c r="W439" s="101"/>
    </row>
    <row r="440">
      <c r="A440" s="94"/>
      <c r="B440" s="138"/>
      <c r="C440" s="120"/>
      <c r="D440" s="120"/>
      <c r="E440" s="120"/>
      <c r="F440" s="91"/>
      <c r="G440" s="88"/>
      <c r="H440" s="94"/>
      <c r="I440" s="91"/>
      <c r="J440" s="94"/>
      <c r="K440" s="94"/>
      <c r="L440" s="94"/>
      <c r="M440" s="147"/>
      <c r="N440" s="147"/>
      <c r="O440" s="147"/>
      <c r="P440" s="147"/>
      <c r="Q440" s="94"/>
      <c r="R440" s="91"/>
      <c r="S440" s="148"/>
      <c r="T440" s="91"/>
      <c r="U440" s="101"/>
      <c r="V440" s="101"/>
      <c r="W440" s="101"/>
    </row>
    <row r="441">
      <c r="A441" s="94"/>
      <c r="B441" s="138"/>
      <c r="C441" s="120"/>
      <c r="D441" s="120"/>
      <c r="E441" s="120"/>
      <c r="F441" s="91"/>
      <c r="G441" s="88"/>
      <c r="H441" s="94"/>
      <c r="I441" s="91"/>
      <c r="J441" s="94"/>
      <c r="K441" s="94"/>
      <c r="L441" s="94"/>
      <c r="M441" s="147"/>
      <c r="N441" s="147"/>
      <c r="O441" s="147"/>
      <c r="P441" s="147"/>
      <c r="Q441" s="94"/>
      <c r="R441" s="91"/>
      <c r="S441" s="148"/>
      <c r="T441" s="91"/>
      <c r="U441" s="101"/>
      <c r="V441" s="101"/>
      <c r="W441" s="101"/>
    </row>
    <row r="442">
      <c r="A442" s="94"/>
      <c r="B442" s="138"/>
      <c r="C442" s="120"/>
      <c r="D442" s="120"/>
      <c r="E442" s="120"/>
      <c r="F442" s="91"/>
      <c r="G442" s="88"/>
      <c r="H442" s="94"/>
      <c r="I442" s="91"/>
      <c r="J442" s="94"/>
      <c r="K442" s="94"/>
      <c r="L442" s="94"/>
      <c r="M442" s="147"/>
      <c r="N442" s="147"/>
      <c r="O442" s="147"/>
      <c r="P442" s="147"/>
      <c r="Q442" s="94"/>
      <c r="R442" s="91"/>
      <c r="S442" s="148"/>
      <c r="T442" s="91"/>
      <c r="U442" s="101"/>
      <c r="V442" s="101"/>
      <c r="W442" s="101"/>
    </row>
    <row r="443">
      <c r="A443" s="94"/>
      <c r="B443" s="138"/>
      <c r="C443" s="120"/>
      <c r="D443" s="120"/>
      <c r="E443" s="120"/>
      <c r="F443" s="91"/>
      <c r="G443" s="88"/>
      <c r="H443" s="94"/>
      <c r="I443" s="91"/>
      <c r="J443" s="94"/>
      <c r="K443" s="94"/>
      <c r="L443" s="94"/>
      <c r="M443" s="147"/>
      <c r="N443" s="147"/>
      <c r="O443" s="147"/>
      <c r="P443" s="147"/>
      <c r="Q443" s="94"/>
      <c r="R443" s="91"/>
      <c r="S443" s="148"/>
      <c r="T443" s="91"/>
      <c r="U443" s="101"/>
      <c r="V443" s="101"/>
      <c r="W443" s="101"/>
    </row>
    <row r="444">
      <c r="A444" s="94"/>
      <c r="B444" s="138"/>
      <c r="C444" s="120"/>
      <c r="D444" s="120"/>
      <c r="E444" s="120"/>
      <c r="F444" s="91"/>
      <c r="G444" s="88"/>
      <c r="H444" s="94"/>
      <c r="I444" s="91"/>
      <c r="J444" s="94"/>
      <c r="K444" s="94"/>
      <c r="L444" s="94"/>
      <c r="M444" s="147"/>
      <c r="N444" s="147"/>
      <c r="O444" s="147"/>
      <c r="P444" s="147"/>
      <c r="Q444" s="94"/>
      <c r="R444" s="91"/>
      <c r="S444" s="148"/>
      <c r="T444" s="91"/>
      <c r="U444" s="101"/>
      <c r="V444" s="101"/>
      <c r="W444" s="101"/>
    </row>
    <row r="445">
      <c r="A445" s="94"/>
      <c r="B445" s="138"/>
      <c r="C445" s="120"/>
      <c r="D445" s="120"/>
      <c r="E445" s="120"/>
      <c r="F445" s="91"/>
      <c r="G445" s="88"/>
      <c r="H445" s="94"/>
      <c r="I445" s="91"/>
      <c r="J445" s="94"/>
      <c r="K445" s="94"/>
      <c r="L445" s="94"/>
      <c r="M445" s="147"/>
      <c r="N445" s="147"/>
      <c r="O445" s="147"/>
      <c r="P445" s="147"/>
      <c r="Q445" s="94"/>
      <c r="R445" s="91"/>
      <c r="S445" s="148"/>
      <c r="T445" s="91"/>
      <c r="U445" s="101"/>
      <c r="V445" s="101"/>
      <c r="W445" s="101"/>
    </row>
    <row r="446">
      <c r="A446" s="94"/>
      <c r="B446" s="138"/>
      <c r="C446" s="120"/>
      <c r="D446" s="120"/>
      <c r="E446" s="120"/>
      <c r="F446" s="91"/>
      <c r="G446" s="88"/>
      <c r="H446" s="94"/>
      <c r="I446" s="91"/>
      <c r="J446" s="94"/>
      <c r="K446" s="94"/>
      <c r="L446" s="94"/>
      <c r="M446" s="147"/>
      <c r="N446" s="147"/>
      <c r="O446" s="147"/>
      <c r="P446" s="147"/>
      <c r="Q446" s="94"/>
      <c r="R446" s="91"/>
      <c r="S446" s="148"/>
      <c r="T446" s="91"/>
      <c r="U446" s="101"/>
      <c r="V446" s="101"/>
      <c r="W446" s="101"/>
    </row>
    <row r="447">
      <c r="A447" s="94"/>
      <c r="B447" s="138"/>
      <c r="C447" s="120"/>
      <c r="D447" s="120"/>
      <c r="E447" s="120"/>
      <c r="F447" s="91"/>
      <c r="G447" s="88"/>
      <c r="H447" s="94"/>
      <c r="I447" s="91"/>
      <c r="J447" s="94"/>
      <c r="K447" s="94"/>
      <c r="L447" s="94"/>
      <c r="M447" s="147"/>
      <c r="N447" s="147"/>
      <c r="O447" s="147"/>
      <c r="P447" s="147"/>
      <c r="Q447" s="94"/>
      <c r="R447" s="91"/>
      <c r="S447" s="148"/>
      <c r="T447" s="91"/>
      <c r="U447" s="101"/>
      <c r="V447" s="101"/>
      <c r="W447" s="101"/>
    </row>
    <row r="448">
      <c r="A448" s="94"/>
      <c r="B448" s="138"/>
      <c r="C448" s="120"/>
      <c r="D448" s="120"/>
      <c r="E448" s="120"/>
      <c r="F448" s="91"/>
      <c r="G448" s="88"/>
      <c r="H448" s="94"/>
      <c r="I448" s="91"/>
      <c r="J448" s="94"/>
      <c r="K448" s="94"/>
      <c r="L448" s="94"/>
      <c r="M448" s="147"/>
      <c r="N448" s="147"/>
      <c r="O448" s="147"/>
      <c r="P448" s="147"/>
      <c r="Q448" s="94"/>
      <c r="R448" s="91"/>
      <c r="S448" s="148"/>
      <c r="T448" s="91"/>
      <c r="U448" s="101"/>
      <c r="V448" s="101"/>
      <c r="W448" s="101"/>
    </row>
    <row r="449">
      <c r="A449" s="94"/>
      <c r="B449" s="138"/>
      <c r="C449" s="120"/>
      <c r="D449" s="120"/>
      <c r="E449" s="120"/>
      <c r="F449" s="91"/>
      <c r="G449" s="88"/>
      <c r="H449" s="94"/>
      <c r="I449" s="91"/>
      <c r="J449" s="94"/>
      <c r="K449" s="94"/>
      <c r="L449" s="94"/>
      <c r="M449" s="147"/>
      <c r="N449" s="147"/>
      <c r="O449" s="147"/>
      <c r="P449" s="147"/>
      <c r="Q449" s="94"/>
      <c r="R449" s="91"/>
      <c r="S449" s="148"/>
      <c r="T449" s="91"/>
      <c r="U449" s="101"/>
      <c r="V449" s="101"/>
      <c r="W449" s="101"/>
    </row>
    <row r="450">
      <c r="A450" s="94"/>
      <c r="B450" s="138"/>
      <c r="C450" s="120"/>
      <c r="D450" s="120"/>
      <c r="E450" s="120"/>
      <c r="F450" s="91"/>
      <c r="G450" s="88"/>
      <c r="H450" s="94"/>
      <c r="I450" s="91"/>
      <c r="J450" s="94"/>
      <c r="K450" s="94"/>
      <c r="L450" s="94"/>
      <c r="M450" s="147"/>
      <c r="N450" s="147"/>
      <c r="O450" s="147"/>
      <c r="P450" s="147"/>
      <c r="Q450" s="94"/>
      <c r="R450" s="91"/>
      <c r="S450" s="148"/>
      <c r="T450" s="91"/>
      <c r="U450" s="101"/>
      <c r="V450" s="101"/>
      <c r="W450" s="101"/>
    </row>
    <row r="451">
      <c r="A451" s="94"/>
      <c r="B451" s="138"/>
      <c r="C451" s="120"/>
      <c r="D451" s="120"/>
      <c r="E451" s="120"/>
      <c r="F451" s="91"/>
      <c r="G451" s="88"/>
      <c r="H451" s="94"/>
      <c r="I451" s="91"/>
      <c r="J451" s="94"/>
      <c r="K451" s="94"/>
      <c r="L451" s="94"/>
      <c r="M451" s="147"/>
      <c r="N451" s="147"/>
      <c r="O451" s="147"/>
      <c r="P451" s="147"/>
      <c r="Q451" s="94"/>
      <c r="R451" s="91"/>
      <c r="S451" s="148"/>
      <c r="T451" s="91"/>
      <c r="U451" s="101"/>
      <c r="V451" s="101"/>
      <c r="W451" s="101"/>
    </row>
    <row r="452">
      <c r="A452" s="94"/>
      <c r="B452" s="138"/>
      <c r="C452" s="120"/>
      <c r="D452" s="120"/>
      <c r="E452" s="120"/>
      <c r="F452" s="91"/>
      <c r="G452" s="88"/>
      <c r="H452" s="94"/>
      <c r="I452" s="91"/>
      <c r="J452" s="94"/>
      <c r="K452" s="94"/>
      <c r="L452" s="94"/>
      <c r="M452" s="147"/>
      <c r="N452" s="147"/>
      <c r="O452" s="147"/>
      <c r="P452" s="147"/>
      <c r="Q452" s="94"/>
      <c r="R452" s="91"/>
      <c r="S452" s="148"/>
      <c r="T452" s="91"/>
      <c r="U452" s="101"/>
      <c r="V452" s="101"/>
      <c r="W452" s="101"/>
    </row>
    <row r="453">
      <c r="A453" s="94"/>
      <c r="B453" s="138"/>
      <c r="C453" s="120"/>
      <c r="D453" s="120"/>
      <c r="E453" s="120"/>
      <c r="F453" s="91"/>
      <c r="G453" s="88"/>
      <c r="H453" s="94"/>
      <c r="I453" s="91"/>
      <c r="J453" s="94"/>
      <c r="K453" s="94"/>
      <c r="L453" s="94"/>
      <c r="M453" s="147"/>
      <c r="N453" s="147"/>
      <c r="O453" s="147"/>
      <c r="P453" s="147"/>
      <c r="Q453" s="94"/>
      <c r="R453" s="91"/>
      <c r="S453" s="148"/>
      <c r="T453" s="91"/>
      <c r="U453" s="101"/>
      <c r="V453" s="101"/>
      <c r="W453" s="101"/>
    </row>
    <row r="454">
      <c r="A454" s="94"/>
      <c r="B454" s="138"/>
      <c r="C454" s="120"/>
      <c r="D454" s="120"/>
      <c r="E454" s="120"/>
      <c r="F454" s="91"/>
      <c r="G454" s="88"/>
      <c r="H454" s="94"/>
      <c r="I454" s="91"/>
      <c r="J454" s="94"/>
      <c r="K454" s="94"/>
      <c r="L454" s="94"/>
      <c r="M454" s="147"/>
      <c r="N454" s="147"/>
      <c r="O454" s="147"/>
      <c r="P454" s="147"/>
      <c r="Q454" s="94"/>
      <c r="R454" s="91"/>
      <c r="S454" s="148"/>
      <c r="T454" s="91"/>
      <c r="U454" s="101"/>
      <c r="V454" s="101"/>
      <c r="W454" s="101"/>
    </row>
    <row r="455">
      <c r="A455" s="94"/>
      <c r="B455" s="138"/>
      <c r="C455" s="120"/>
      <c r="D455" s="120"/>
      <c r="E455" s="120"/>
      <c r="F455" s="91"/>
      <c r="G455" s="88"/>
      <c r="H455" s="94"/>
      <c r="I455" s="91"/>
      <c r="J455" s="94"/>
      <c r="K455" s="94"/>
      <c r="L455" s="94"/>
      <c r="M455" s="147"/>
      <c r="N455" s="147"/>
      <c r="O455" s="147"/>
      <c r="P455" s="147"/>
      <c r="Q455" s="94"/>
      <c r="R455" s="91"/>
      <c r="S455" s="148"/>
      <c r="T455" s="91"/>
      <c r="U455" s="101"/>
      <c r="V455" s="101"/>
      <c r="W455" s="101"/>
    </row>
    <row r="456">
      <c r="A456" s="94"/>
      <c r="B456" s="138"/>
      <c r="C456" s="120"/>
      <c r="D456" s="120"/>
      <c r="E456" s="120"/>
      <c r="F456" s="91"/>
      <c r="G456" s="88"/>
      <c r="H456" s="94"/>
      <c r="I456" s="91"/>
      <c r="J456" s="94"/>
      <c r="K456" s="94"/>
      <c r="L456" s="94"/>
      <c r="M456" s="147"/>
      <c r="N456" s="147"/>
      <c r="O456" s="147"/>
      <c r="P456" s="147"/>
      <c r="Q456" s="94"/>
      <c r="R456" s="91"/>
      <c r="S456" s="148"/>
      <c r="T456" s="91"/>
      <c r="U456" s="101"/>
      <c r="V456" s="101"/>
      <c r="W456" s="101"/>
    </row>
    <row r="457">
      <c r="A457" s="94"/>
      <c r="B457" s="138"/>
      <c r="C457" s="120"/>
      <c r="D457" s="120"/>
      <c r="E457" s="120"/>
      <c r="F457" s="91"/>
      <c r="G457" s="88"/>
      <c r="H457" s="94"/>
      <c r="I457" s="91"/>
      <c r="J457" s="94"/>
      <c r="K457" s="94"/>
      <c r="L457" s="94"/>
      <c r="M457" s="147"/>
      <c r="N457" s="147"/>
      <c r="O457" s="147"/>
      <c r="P457" s="147"/>
      <c r="Q457" s="94"/>
      <c r="R457" s="91"/>
      <c r="S457" s="148"/>
      <c r="T457" s="91"/>
      <c r="U457" s="101"/>
      <c r="V457" s="101"/>
      <c r="W457" s="101"/>
    </row>
    <row r="458">
      <c r="A458" s="94"/>
      <c r="B458" s="138"/>
      <c r="C458" s="120"/>
      <c r="D458" s="120"/>
      <c r="E458" s="120"/>
      <c r="F458" s="91"/>
      <c r="G458" s="88"/>
      <c r="H458" s="94"/>
      <c r="I458" s="91"/>
      <c r="J458" s="94"/>
      <c r="K458" s="94"/>
      <c r="L458" s="94"/>
      <c r="M458" s="147"/>
      <c r="N458" s="147"/>
      <c r="O458" s="147"/>
      <c r="P458" s="147"/>
      <c r="Q458" s="94"/>
      <c r="R458" s="91"/>
      <c r="S458" s="148"/>
      <c r="T458" s="91"/>
      <c r="U458" s="101"/>
      <c r="V458" s="101"/>
      <c r="W458" s="101"/>
    </row>
    <row r="459">
      <c r="A459" s="94"/>
      <c r="B459" s="138"/>
      <c r="C459" s="120"/>
      <c r="D459" s="120"/>
      <c r="E459" s="120"/>
      <c r="F459" s="91"/>
      <c r="G459" s="88"/>
      <c r="H459" s="94"/>
      <c r="I459" s="91"/>
      <c r="J459" s="94"/>
      <c r="K459" s="94"/>
      <c r="L459" s="94"/>
      <c r="M459" s="147"/>
      <c r="N459" s="147"/>
      <c r="O459" s="147"/>
      <c r="P459" s="147"/>
      <c r="Q459" s="94"/>
      <c r="R459" s="91"/>
      <c r="S459" s="148"/>
      <c r="T459" s="91"/>
      <c r="U459" s="101"/>
      <c r="V459" s="101"/>
      <c r="W459" s="101"/>
    </row>
    <row r="460">
      <c r="A460" s="94"/>
      <c r="B460" s="138"/>
      <c r="C460" s="120"/>
      <c r="D460" s="120"/>
      <c r="E460" s="120"/>
      <c r="F460" s="91"/>
      <c r="G460" s="88"/>
      <c r="H460" s="94"/>
      <c r="I460" s="91"/>
      <c r="J460" s="94"/>
      <c r="K460" s="94"/>
      <c r="L460" s="94"/>
      <c r="M460" s="147"/>
      <c r="N460" s="147"/>
      <c r="O460" s="147"/>
      <c r="P460" s="147"/>
      <c r="Q460" s="94"/>
      <c r="R460" s="91"/>
      <c r="S460" s="148"/>
      <c r="T460" s="91"/>
      <c r="U460" s="101"/>
      <c r="V460" s="101"/>
      <c r="W460" s="101"/>
    </row>
    <row r="461">
      <c r="A461" s="94"/>
      <c r="B461" s="138"/>
      <c r="C461" s="120"/>
      <c r="D461" s="120"/>
      <c r="E461" s="120"/>
      <c r="F461" s="91"/>
      <c r="G461" s="88"/>
      <c r="H461" s="94"/>
      <c r="I461" s="91"/>
      <c r="J461" s="94"/>
      <c r="K461" s="94"/>
      <c r="L461" s="94"/>
      <c r="M461" s="147"/>
      <c r="N461" s="147"/>
      <c r="O461" s="147"/>
      <c r="P461" s="147"/>
      <c r="Q461" s="94"/>
      <c r="R461" s="91"/>
      <c r="S461" s="148"/>
      <c r="T461" s="91"/>
      <c r="U461" s="101"/>
      <c r="V461" s="101"/>
      <c r="W461" s="101"/>
    </row>
    <row r="462">
      <c r="A462" s="94"/>
      <c r="B462" s="138"/>
      <c r="C462" s="120"/>
      <c r="D462" s="120"/>
      <c r="E462" s="120"/>
      <c r="F462" s="91"/>
      <c r="G462" s="88"/>
      <c r="H462" s="94"/>
      <c r="I462" s="91"/>
      <c r="J462" s="94"/>
      <c r="K462" s="94"/>
      <c r="L462" s="94"/>
      <c r="M462" s="147"/>
      <c r="N462" s="147"/>
      <c r="O462" s="147"/>
      <c r="P462" s="147"/>
      <c r="Q462" s="94"/>
      <c r="R462" s="91"/>
      <c r="S462" s="148"/>
      <c r="T462" s="91"/>
      <c r="U462" s="101"/>
      <c r="V462" s="101"/>
      <c r="W462" s="101"/>
    </row>
    <row r="463">
      <c r="A463" s="94"/>
      <c r="B463" s="138"/>
      <c r="C463" s="120"/>
      <c r="D463" s="120"/>
      <c r="E463" s="120"/>
      <c r="F463" s="91"/>
      <c r="G463" s="88"/>
      <c r="H463" s="94"/>
      <c r="I463" s="91"/>
      <c r="J463" s="94"/>
      <c r="K463" s="94"/>
      <c r="L463" s="94"/>
      <c r="M463" s="147"/>
      <c r="N463" s="147"/>
      <c r="O463" s="147"/>
      <c r="P463" s="147"/>
      <c r="Q463" s="94"/>
      <c r="R463" s="91"/>
      <c r="S463" s="148"/>
      <c r="T463" s="91"/>
      <c r="U463" s="101"/>
      <c r="V463" s="101"/>
      <c r="W463" s="101"/>
    </row>
    <row r="464">
      <c r="A464" s="94"/>
      <c r="B464" s="138"/>
      <c r="C464" s="120"/>
      <c r="D464" s="120"/>
      <c r="E464" s="120"/>
      <c r="F464" s="91"/>
      <c r="G464" s="88"/>
      <c r="H464" s="94"/>
      <c r="I464" s="91"/>
      <c r="J464" s="94"/>
      <c r="K464" s="94"/>
      <c r="L464" s="94"/>
      <c r="M464" s="147"/>
      <c r="N464" s="147"/>
      <c r="O464" s="147"/>
      <c r="P464" s="147"/>
      <c r="Q464" s="94"/>
      <c r="R464" s="91"/>
      <c r="S464" s="148"/>
      <c r="T464" s="91"/>
      <c r="U464" s="101"/>
      <c r="V464" s="101"/>
      <c r="W464" s="101"/>
    </row>
    <row r="465">
      <c r="A465" s="94"/>
      <c r="B465" s="138"/>
      <c r="C465" s="120"/>
      <c r="D465" s="120"/>
      <c r="E465" s="120"/>
      <c r="F465" s="91"/>
      <c r="G465" s="88"/>
      <c r="H465" s="94"/>
      <c r="I465" s="91"/>
      <c r="J465" s="94"/>
      <c r="K465" s="94"/>
      <c r="L465" s="94"/>
      <c r="M465" s="147"/>
      <c r="N465" s="147"/>
      <c r="O465" s="147"/>
      <c r="P465" s="147"/>
      <c r="Q465" s="94"/>
      <c r="R465" s="91"/>
      <c r="S465" s="148"/>
      <c r="T465" s="91"/>
      <c r="U465" s="101"/>
      <c r="V465" s="101"/>
      <c r="W465" s="101"/>
    </row>
    <row r="466">
      <c r="A466" s="94"/>
      <c r="B466" s="138"/>
      <c r="C466" s="120"/>
      <c r="D466" s="120"/>
      <c r="E466" s="120"/>
      <c r="F466" s="91"/>
      <c r="G466" s="88"/>
      <c r="H466" s="94"/>
      <c r="I466" s="91"/>
      <c r="J466" s="94"/>
      <c r="K466" s="94"/>
      <c r="L466" s="94"/>
      <c r="M466" s="147"/>
      <c r="N466" s="147"/>
      <c r="O466" s="147"/>
      <c r="P466" s="147"/>
      <c r="Q466" s="94"/>
      <c r="R466" s="91"/>
      <c r="S466" s="148"/>
      <c r="T466" s="91"/>
      <c r="U466" s="101"/>
      <c r="V466" s="101"/>
      <c r="W466" s="101"/>
    </row>
    <row r="467">
      <c r="A467" s="94"/>
      <c r="B467" s="138"/>
      <c r="C467" s="120"/>
      <c r="D467" s="120"/>
      <c r="E467" s="120"/>
      <c r="F467" s="91"/>
      <c r="G467" s="88"/>
      <c r="H467" s="94"/>
      <c r="I467" s="91"/>
      <c r="J467" s="94"/>
      <c r="K467" s="94"/>
      <c r="L467" s="94"/>
      <c r="M467" s="147"/>
      <c r="N467" s="147"/>
      <c r="O467" s="147"/>
      <c r="P467" s="147"/>
      <c r="Q467" s="94"/>
      <c r="R467" s="91"/>
      <c r="S467" s="148"/>
      <c r="T467" s="91"/>
      <c r="U467" s="101"/>
      <c r="V467" s="101"/>
      <c r="W467" s="101"/>
    </row>
    <row r="468">
      <c r="A468" s="94"/>
      <c r="B468" s="138"/>
      <c r="C468" s="120"/>
      <c r="D468" s="120"/>
      <c r="E468" s="120"/>
      <c r="F468" s="91"/>
      <c r="G468" s="88"/>
      <c r="H468" s="94"/>
      <c r="I468" s="91"/>
      <c r="J468" s="94"/>
      <c r="K468" s="94"/>
      <c r="L468" s="94"/>
      <c r="M468" s="147"/>
      <c r="N468" s="147"/>
      <c r="O468" s="147"/>
      <c r="P468" s="147"/>
      <c r="Q468" s="94"/>
      <c r="R468" s="91"/>
      <c r="S468" s="148"/>
      <c r="T468" s="91"/>
      <c r="U468" s="101"/>
      <c r="V468" s="101"/>
      <c r="W468" s="101"/>
    </row>
    <row r="469">
      <c r="A469" s="94"/>
      <c r="B469" s="138"/>
      <c r="C469" s="120"/>
      <c r="D469" s="120"/>
      <c r="E469" s="120"/>
      <c r="F469" s="91"/>
      <c r="G469" s="88"/>
      <c r="H469" s="94"/>
      <c r="I469" s="91"/>
      <c r="J469" s="94"/>
      <c r="K469" s="94"/>
      <c r="L469" s="94"/>
      <c r="M469" s="147"/>
      <c r="N469" s="147"/>
      <c r="O469" s="147"/>
      <c r="P469" s="147"/>
      <c r="Q469" s="94"/>
      <c r="R469" s="91"/>
      <c r="S469" s="148"/>
      <c r="T469" s="91"/>
      <c r="U469" s="101"/>
      <c r="V469" s="101"/>
      <c r="W469" s="101"/>
    </row>
    <row r="470">
      <c r="A470" s="94"/>
      <c r="B470" s="138"/>
      <c r="C470" s="120"/>
      <c r="D470" s="120"/>
      <c r="E470" s="120"/>
      <c r="F470" s="91"/>
      <c r="G470" s="88"/>
      <c r="H470" s="94"/>
      <c r="I470" s="91"/>
      <c r="J470" s="94"/>
      <c r="K470" s="94"/>
      <c r="L470" s="94"/>
      <c r="M470" s="147"/>
      <c r="N470" s="147"/>
      <c r="O470" s="147"/>
      <c r="P470" s="147"/>
      <c r="Q470" s="94"/>
      <c r="R470" s="91"/>
      <c r="S470" s="148"/>
      <c r="T470" s="91"/>
      <c r="U470" s="101"/>
      <c r="V470" s="101"/>
      <c r="W470" s="101"/>
    </row>
    <row r="471">
      <c r="A471" s="94"/>
      <c r="B471" s="138"/>
      <c r="C471" s="120"/>
      <c r="D471" s="120"/>
      <c r="E471" s="120"/>
      <c r="F471" s="91"/>
      <c r="G471" s="88"/>
      <c r="H471" s="94"/>
      <c r="I471" s="91"/>
      <c r="J471" s="94"/>
      <c r="K471" s="94"/>
      <c r="L471" s="94"/>
      <c r="M471" s="147"/>
      <c r="N471" s="147"/>
      <c r="O471" s="147"/>
      <c r="P471" s="147"/>
      <c r="Q471" s="94"/>
      <c r="R471" s="91"/>
      <c r="S471" s="148"/>
      <c r="T471" s="91"/>
      <c r="U471" s="101"/>
      <c r="V471" s="101"/>
      <c r="W471" s="101"/>
    </row>
    <row r="472">
      <c r="A472" s="94"/>
      <c r="B472" s="138"/>
      <c r="C472" s="120"/>
      <c r="D472" s="120"/>
      <c r="E472" s="120"/>
      <c r="F472" s="91"/>
      <c r="G472" s="88"/>
      <c r="H472" s="94"/>
      <c r="I472" s="91"/>
      <c r="J472" s="94"/>
      <c r="K472" s="94"/>
      <c r="L472" s="94"/>
      <c r="M472" s="147"/>
      <c r="N472" s="147"/>
      <c r="O472" s="147"/>
      <c r="P472" s="147"/>
      <c r="Q472" s="94"/>
      <c r="R472" s="91"/>
      <c r="S472" s="148"/>
      <c r="T472" s="91"/>
      <c r="U472" s="101"/>
      <c r="V472" s="101"/>
      <c r="W472" s="101"/>
    </row>
    <row r="473">
      <c r="A473" s="94"/>
      <c r="B473" s="138"/>
      <c r="C473" s="120"/>
      <c r="D473" s="120"/>
      <c r="E473" s="120"/>
      <c r="F473" s="91"/>
      <c r="G473" s="88"/>
      <c r="H473" s="94"/>
      <c r="I473" s="91"/>
      <c r="J473" s="94"/>
      <c r="K473" s="94"/>
      <c r="L473" s="94"/>
      <c r="M473" s="147"/>
      <c r="N473" s="147"/>
      <c r="O473" s="147"/>
      <c r="P473" s="147"/>
      <c r="Q473" s="94"/>
      <c r="R473" s="91"/>
      <c r="S473" s="148"/>
      <c r="T473" s="91"/>
      <c r="U473" s="101"/>
      <c r="V473" s="101"/>
      <c r="W473" s="101"/>
    </row>
    <row r="474">
      <c r="A474" s="94"/>
      <c r="B474" s="138"/>
      <c r="C474" s="120"/>
      <c r="D474" s="120"/>
      <c r="E474" s="120"/>
      <c r="F474" s="91"/>
      <c r="G474" s="88"/>
      <c r="H474" s="94"/>
      <c r="I474" s="91"/>
      <c r="J474" s="94"/>
      <c r="K474" s="94"/>
      <c r="L474" s="94"/>
      <c r="M474" s="147"/>
      <c r="N474" s="147"/>
      <c r="O474" s="147"/>
      <c r="P474" s="147"/>
      <c r="Q474" s="94"/>
      <c r="R474" s="91"/>
      <c r="S474" s="148"/>
      <c r="T474" s="91"/>
      <c r="U474" s="101"/>
      <c r="V474" s="101"/>
      <c r="W474" s="101"/>
    </row>
    <row r="475">
      <c r="A475" s="94"/>
      <c r="B475" s="138"/>
      <c r="C475" s="120"/>
      <c r="D475" s="120"/>
      <c r="E475" s="120"/>
      <c r="F475" s="91"/>
      <c r="G475" s="88"/>
      <c r="H475" s="94"/>
      <c r="I475" s="91"/>
      <c r="J475" s="94"/>
      <c r="K475" s="94"/>
      <c r="L475" s="94"/>
      <c r="M475" s="147"/>
      <c r="N475" s="147"/>
      <c r="O475" s="147"/>
      <c r="P475" s="147"/>
      <c r="Q475" s="94"/>
      <c r="R475" s="91"/>
      <c r="S475" s="148"/>
      <c r="T475" s="91"/>
      <c r="U475" s="101"/>
      <c r="V475" s="101"/>
      <c r="W475" s="101"/>
    </row>
    <row r="476">
      <c r="A476" s="94"/>
      <c r="B476" s="138"/>
      <c r="C476" s="120"/>
      <c r="D476" s="120"/>
      <c r="E476" s="120"/>
      <c r="F476" s="91"/>
      <c r="G476" s="88"/>
      <c r="H476" s="94"/>
      <c r="I476" s="91"/>
      <c r="J476" s="94"/>
      <c r="K476" s="94"/>
      <c r="L476" s="94"/>
      <c r="M476" s="147"/>
      <c r="N476" s="147"/>
      <c r="O476" s="147"/>
      <c r="P476" s="147"/>
      <c r="Q476" s="94"/>
      <c r="R476" s="91"/>
      <c r="S476" s="148"/>
      <c r="T476" s="91"/>
      <c r="U476" s="101"/>
      <c r="V476" s="101"/>
      <c r="W476" s="101"/>
    </row>
    <row r="477">
      <c r="A477" s="94"/>
      <c r="B477" s="138"/>
      <c r="C477" s="120"/>
      <c r="D477" s="120"/>
      <c r="E477" s="120"/>
      <c r="F477" s="91"/>
      <c r="G477" s="88"/>
      <c r="H477" s="94"/>
      <c r="I477" s="91"/>
      <c r="J477" s="94"/>
      <c r="K477" s="94"/>
      <c r="L477" s="94"/>
      <c r="M477" s="147"/>
      <c r="N477" s="147"/>
      <c r="O477" s="147"/>
      <c r="P477" s="147"/>
      <c r="Q477" s="94"/>
      <c r="R477" s="91"/>
      <c r="S477" s="148"/>
      <c r="T477" s="91"/>
      <c r="U477" s="101"/>
      <c r="V477" s="101"/>
      <c r="W477" s="101"/>
    </row>
    <row r="478">
      <c r="A478" s="94"/>
      <c r="B478" s="138"/>
      <c r="C478" s="120"/>
      <c r="D478" s="120"/>
      <c r="E478" s="120"/>
      <c r="F478" s="91"/>
      <c r="G478" s="88"/>
      <c r="H478" s="94"/>
      <c r="I478" s="91"/>
      <c r="J478" s="94"/>
      <c r="K478" s="94"/>
      <c r="L478" s="94"/>
      <c r="M478" s="147"/>
      <c r="N478" s="147"/>
      <c r="O478" s="147"/>
      <c r="P478" s="147"/>
      <c r="Q478" s="94"/>
      <c r="R478" s="91"/>
      <c r="S478" s="148"/>
      <c r="T478" s="91"/>
      <c r="U478" s="101"/>
      <c r="V478" s="101"/>
      <c r="W478" s="101"/>
    </row>
    <row r="479">
      <c r="A479" s="94"/>
      <c r="B479" s="138"/>
      <c r="C479" s="120"/>
      <c r="D479" s="120"/>
      <c r="E479" s="120"/>
      <c r="F479" s="91"/>
      <c r="G479" s="88"/>
      <c r="H479" s="94"/>
      <c r="I479" s="91"/>
      <c r="J479" s="94"/>
      <c r="K479" s="94"/>
      <c r="L479" s="94"/>
      <c r="M479" s="147"/>
      <c r="N479" s="147"/>
      <c r="O479" s="147"/>
      <c r="P479" s="147"/>
      <c r="Q479" s="94"/>
      <c r="R479" s="91"/>
      <c r="S479" s="148"/>
      <c r="T479" s="91"/>
      <c r="U479" s="101"/>
      <c r="V479" s="101"/>
      <c r="W479" s="101"/>
    </row>
    <row r="480">
      <c r="A480" s="94"/>
      <c r="B480" s="138"/>
      <c r="C480" s="120"/>
      <c r="D480" s="120"/>
      <c r="E480" s="120"/>
      <c r="F480" s="91"/>
      <c r="G480" s="88"/>
      <c r="H480" s="94"/>
      <c r="I480" s="91"/>
      <c r="J480" s="94"/>
      <c r="K480" s="94"/>
      <c r="L480" s="94"/>
      <c r="M480" s="147"/>
      <c r="N480" s="147"/>
      <c r="O480" s="147"/>
      <c r="P480" s="147"/>
      <c r="Q480" s="94"/>
      <c r="R480" s="91"/>
      <c r="S480" s="148"/>
      <c r="T480" s="91"/>
      <c r="U480" s="101"/>
      <c r="V480" s="101"/>
      <c r="W480" s="101"/>
    </row>
    <row r="481">
      <c r="A481" s="94"/>
      <c r="B481" s="138"/>
      <c r="C481" s="120"/>
      <c r="D481" s="120"/>
      <c r="E481" s="120"/>
      <c r="F481" s="91"/>
      <c r="G481" s="88"/>
      <c r="H481" s="94"/>
      <c r="I481" s="91"/>
      <c r="J481" s="94"/>
      <c r="K481" s="94"/>
      <c r="L481" s="94"/>
      <c r="M481" s="147"/>
      <c r="N481" s="147"/>
      <c r="O481" s="147"/>
      <c r="P481" s="147"/>
      <c r="Q481" s="94"/>
      <c r="R481" s="91"/>
      <c r="S481" s="148"/>
      <c r="T481" s="91"/>
      <c r="U481" s="101"/>
      <c r="V481" s="101"/>
      <c r="W481" s="101"/>
    </row>
    <row r="482">
      <c r="A482" s="94"/>
      <c r="B482" s="138"/>
      <c r="C482" s="120"/>
      <c r="D482" s="120"/>
      <c r="E482" s="120"/>
      <c r="F482" s="91"/>
      <c r="G482" s="88"/>
      <c r="H482" s="94"/>
      <c r="I482" s="91"/>
      <c r="J482" s="94"/>
      <c r="K482" s="94"/>
      <c r="L482" s="94"/>
      <c r="M482" s="147"/>
      <c r="N482" s="147"/>
      <c r="O482" s="147"/>
      <c r="P482" s="147"/>
      <c r="Q482" s="94"/>
      <c r="R482" s="91"/>
      <c r="S482" s="148"/>
      <c r="T482" s="91"/>
      <c r="U482" s="101"/>
      <c r="V482" s="101"/>
      <c r="W482" s="101"/>
    </row>
    <row r="483">
      <c r="A483" s="94"/>
      <c r="B483" s="138"/>
      <c r="C483" s="120"/>
      <c r="D483" s="120"/>
      <c r="E483" s="120"/>
      <c r="F483" s="91"/>
      <c r="G483" s="88"/>
      <c r="H483" s="94"/>
      <c r="I483" s="91"/>
      <c r="J483" s="94"/>
      <c r="K483" s="94"/>
      <c r="L483" s="94"/>
      <c r="M483" s="147"/>
      <c r="N483" s="147"/>
      <c r="O483" s="147"/>
      <c r="P483" s="147"/>
      <c r="Q483" s="94"/>
      <c r="R483" s="91"/>
      <c r="S483" s="148"/>
      <c r="T483" s="91"/>
      <c r="U483" s="101"/>
      <c r="V483" s="101"/>
      <c r="W483" s="101"/>
    </row>
    <row r="484">
      <c r="A484" s="94"/>
      <c r="B484" s="138"/>
      <c r="C484" s="120"/>
      <c r="D484" s="120"/>
      <c r="E484" s="120"/>
      <c r="F484" s="91"/>
      <c r="G484" s="88"/>
      <c r="H484" s="94"/>
      <c r="I484" s="91"/>
      <c r="J484" s="94"/>
      <c r="K484" s="94"/>
      <c r="L484" s="94"/>
      <c r="M484" s="147"/>
      <c r="N484" s="147"/>
      <c r="O484" s="147"/>
      <c r="P484" s="147"/>
      <c r="Q484" s="94"/>
      <c r="R484" s="91"/>
      <c r="S484" s="148"/>
      <c r="T484" s="91"/>
      <c r="U484" s="101"/>
      <c r="V484" s="101"/>
      <c r="W484" s="101"/>
    </row>
    <row r="485">
      <c r="A485" s="94"/>
      <c r="B485" s="138"/>
      <c r="C485" s="120"/>
      <c r="D485" s="120"/>
      <c r="E485" s="120"/>
      <c r="F485" s="91"/>
      <c r="G485" s="88"/>
      <c r="H485" s="94"/>
      <c r="I485" s="91"/>
      <c r="J485" s="94"/>
      <c r="K485" s="94"/>
      <c r="L485" s="94"/>
      <c r="M485" s="147"/>
      <c r="N485" s="147"/>
      <c r="O485" s="147"/>
      <c r="P485" s="147"/>
      <c r="Q485" s="94"/>
      <c r="R485" s="91"/>
      <c r="S485" s="148"/>
      <c r="T485" s="91"/>
      <c r="U485" s="101"/>
      <c r="V485" s="101"/>
      <c r="W485" s="101"/>
    </row>
    <row r="486">
      <c r="A486" s="94"/>
      <c r="B486" s="138"/>
      <c r="C486" s="120"/>
      <c r="D486" s="120"/>
      <c r="E486" s="120"/>
      <c r="F486" s="91"/>
      <c r="G486" s="88"/>
      <c r="H486" s="94"/>
      <c r="I486" s="91"/>
      <c r="J486" s="94"/>
      <c r="K486" s="94"/>
      <c r="L486" s="94"/>
      <c r="M486" s="147"/>
      <c r="N486" s="147"/>
      <c r="O486" s="147"/>
      <c r="P486" s="147"/>
      <c r="Q486" s="94"/>
      <c r="R486" s="91"/>
      <c r="S486" s="148"/>
      <c r="T486" s="91"/>
      <c r="U486" s="101"/>
      <c r="V486" s="101"/>
      <c r="W486" s="101"/>
    </row>
    <row r="487">
      <c r="A487" s="94"/>
      <c r="B487" s="138"/>
      <c r="C487" s="120"/>
      <c r="D487" s="120"/>
      <c r="E487" s="120"/>
      <c r="F487" s="91"/>
      <c r="G487" s="88"/>
      <c r="H487" s="94"/>
      <c r="I487" s="91"/>
      <c r="J487" s="94"/>
      <c r="K487" s="94"/>
      <c r="L487" s="94"/>
      <c r="M487" s="147"/>
      <c r="N487" s="147"/>
      <c r="O487" s="147"/>
      <c r="P487" s="147"/>
      <c r="Q487" s="94"/>
      <c r="R487" s="91"/>
      <c r="S487" s="148"/>
      <c r="T487" s="91"/>
      <c r="U487" s="101"/>
      <c r="V487" s="101"/>
      <c r="W487" s="101"/>
    </row>
    <row r="488">
      <c r="A488" s="94"/>
      <c r="B488" s="138"/>
      <c r="C488" s="120"/>
      <c r="D488" s="120"/>
      <c r="E488" s="120"/>
      <c r="F488" s="91"/>
      <c r="G488" s="88"/>
      <c r="H488" s="94"/>
      <c r="I488" s="91"/>
      <c r="J488" s="94"/>
      <c r="K488" s="94"/>
      <c r="L488" s="94"/>
      <c r="M488" s="147"/>
      <c r="N488" s="147"/>
      <c r="O488" s="147"/>
      <c r="P488" s="147"/>
      <c r="Q488" s="94"/>
      <c r="R488" s="91"/>
      <c r="S488" s="148"/>
      <c r="T488" s="91"/>
      <c r="U488" s="101"/>
      <c r="V488" s="101"/>
      <c r="W488" s="101"/>
    </row>
    <row r="489">
      <c r="A489" s="94"/>
      <c r="B489" s="138"/>
      <c r="C489" s="120"/>
      <c r="D489" s="120"/>
      <c r="E489" s="120"/>
      <c r="F489" s="91"/>
      <c r="G489" s="88"/>
      <c r="H489" s="94"/>
      <c r="I489" s="91"/>
      <c r="J489" s="94"/>
      <c r="K489" s="94"/>
      <c r="L489" s="94"/>
      <c r="M489" s="147"/>
      <c r="N489" s="147"/>
      <c r="O489" s="147"/>
      <c r="P489" s="147"/>
      <c r="Q489" s="94"/>
      <c r="R489" s="91"/>
      <c r="S489" s="148"/>
      <c r="T489" s="91"/>
      <c r="U489" s="101"/>
      <c r="V489" s="101"/>
      <c r="W489" s="101"/>
    </row>
    <row r="490">
      <c r="A490" s="94"/>
      <c r="B490" s="138"/>
      <c r="C490" s="120"/>
      <c r="D490" s="120"/>
      <c r="E490" s="120"/>
      <c r="F490" s="91"/>
      <c r="G490" s="88"/>
      <c r="H490" s="94"/>
      <c r="I490" s="91"/>
      <c r="J490" s="94"/>
      <c r="K490" s="94"/>
      <c r="L490" s="94"/>
      <c r="M490" s="147"/>
      <c r="N490" s="147"/>
      <c r="O490" s="147"/>
      <c r="P490" s="147"/>
      <c r="Q490" s="94"/>
      <c r="R490" s="91"/>
      <c r="S490" s="148"/>
      <c r="T490" s="91"/>
      <c r="U490" s="101"/>
      <c r="V490" s="101"/>
      <c r="W490" s="101"/>
    </row>
    <row r="491">
      <c r="A491" s="94"/>
      <c r="B491" s="138"/>
      <c r="C491" s="120"/>
      <c r="D491" s="120"/>
      <c r="E491" s="120"/>
      <c r="F491" s="91"/>
      <c r="G491" s="88"/>
      <c r="H491" s="94"/>
      <c r="I491" s="91"/>
      <c r="J491" s="94"/>
      <c r="K491" s="94"/>
      <c r="L491" s="94"/>
      <c r="M491" s="147"/>
      <c r="N491" s="147"/>
      <c r="O491" s="147"/>
      <c r="P491" s="147"/>
      <c r="Q491" s="94"/>
      <c r="R491" s="91"/>
      <c r="S491" s="148"/>
      <c r="T491" s="91"/>
      <c r="U491" s="101"/>
      <c r="V491" s="101"/>
      <c r="W491" s="101"/>
    </row>
    <row r="492">
      <c r="A492" s="94"/>
      <c r="B492" s="138"/>
      <c r="C492" s="120"/>
      <c r="D492" s="120"/>
      <c r="E492" s="120"/>
      <c r="F492" s="91"/>
      <c r="G492" s="88"/>
      <c r="H492" s="94"/>
      <c r="I492" s="91"/>
      <c r="J492" s="94"/>
      <c r="K492" s="94"/>
      <c r="L492" s="94"/>
      <c r="M492" s="147"/>
      <c r="N492" s="147"/>
      <c r="O492" s="147"/>
      <c r="P492" s="147"/>
      <c r="Q492" s="94"/>
      <c r="R492" s="91"/>
      <c r="S492" s="148"/>
      <c r="T492" s="91"/>
      <c r="U492" s="101"/>
      <c r="V492" s="101"/>
      <c r="W492" s="101"/>
    </row>
    <row r="493">
      <c r="A493" s="94"/>
      <c r="B493" s="138"/>
      <c r="C493" s="120"/>
      <c r="D493" s="120"/>
      <c r="E493" s="120"/>
      <c r="F493" s="91"/>
      <c r="G493" s="88"/>
      <c r="H493" s="94"/>
      <c r="I493" s="91"/>
      <c r="J493" s="94"/>
      <c r="K493" s="94"/>
      <c r="L493" s="94"/>
      <c r="M493" s="147"/>
      <c r="N493" s="147"/>
      <c r="O493" s="147"/>
      <c r="P493" s="147"/>
      <c r="Q493" s="94"/>
      <c r="R493" s="91"/>
      <c r="S493" s="148"/>
      <c r="T493" s="91"/>
      <c r="U493" s="101"/>
      <c r="V493" s="101"/>
      <c r="W493" s="101"/>
    </row>
    <row r="494">
      <c r="A494" s="94"/>
      <c r="B494" s="138"/>
      <c r="C494" s="120"/>
      <c r="D494" s="120"/>
      <c r="E494" s="120"/>
      <c r="F494" s="91"/>
      <c r="G494" s="88"/>
      <c r="H494" s="94"/>
      <c r="I494" s="91"/>
      <c r="J494" s="94"/>
      <c r="K494" s="94"/>
      <c r="L494" s="94"/>
      <c r="M494" s="147"/>
      <c r="N494" s="147"/>
      <c r="O494" s="147"/>
      <c r="P494" s="147"/>
      <c r="Q494" s="94"/>
      <c r="R494" s="91"/>
      <c r="S494" s="148"/>
      <c r="T494" s="91"/>
      <c r="U494" s="101"/>
      <c r="V494" s="101"/>
      <c r="W494" s="101"/>
    </row>
    <row r="495">
      <c r="A495" s="94"/>
      <c r="B495" s="138"/>
      <c r="C495" s="120"/>
      <c r="D495" s="120"/>
      <c r="E495" s="120"/>
      <c r="F495" s="91"/>
      <c r="G495" s="88"/>
      <c r="H495" s="94"/>
      <c r="I495" s="91"/>
      <c r="J495" s="94"/>
      <c r="K495" s="94"/>
      <c r="L495" s="94"/>
      <c r="M495" s="147"/>
      <c r="N495" s="147"/>
      <c r="O495" s="147"/>
      <c r="P495" s="147"/>
      <c r="Q495" s="94"/>
      <c r="R495" s="91"/>
      <c r="S495" s="148"/>
      <c r="T495" s="91"/>
      <c r="U495" s="101"/>
      <c r="V495" s="101"/>
      <c r="W495" s="101"/>
    </row>
    <row r="496">
      <c r="A496" s="94"/>
      <c r="B496" s="138"/>
      <c r="C496" s="120"/>
      <c r="D496" s="120"/>
      <c r="E496" s="120"/>
      <c r="F496" s="91"/>
      <c r="G496" s="88"/>
      <c r="H496" s="94"/>
      <c r="I496" s="91"/>
      <c r="J496" s="94"/>
      <c r="K496" s="94"/>
      <c r="L496" s="94"/>
      <c r="M496" s="147"/>
      <c r="N496" s="147"/>
      <c r="O496" s="147"/>
      <c r="P496" s="147"/>
      <c r="Q496" s="94"/>
      <c r="R496" s="91"/>
      <c r="S496" s="148"/>
      <c r="T496" s="91"/>
      <c r="U496" s="101"/>
      <c r="V496" s="101"/>
      <c r="W496" s="101"/>
    </row>
    <row r="497">
      <c r="A497" s="94"/>
      <c r="B497" s="138"/>
      <c r="C497" s="120"/>
      <c r="D497" s="120"/>
      <c r="E497" s="120"/>
      <c r="F497" s="91"/>
      <c r="G497" s="88"/>
      <c r="H497" s="94"/>
      <c r="I497" s="91"/>
      <c r="J497" s="94"/>
      <c r="K497" s="94"/>
      <c r="L497" s="94"/>
      <c r="M497" s="147"/>
      <c r="N497" s="147"/>
      <c r="O497" s="147"/>
      <c r="P497" s="147"/>
      <c r="Q497" s="94"/>
      <c r="R497" s="91"/>
      <c r="S497" s="148"/>
      <c r="T497" s="91"/>
      <c r="U497" s="101"/>
      <c r="V497" s="101"/>
      <c r="W497" s="101"/>
    </row>
    <row r="498">
      <c r="A498" s="94"/>
      <c r="B498" s="138"/>
      <c r="C498" s="120"/>
      <c r="D498" s="120"/>
      <c r="E498" s="120"/>
      <c r="F498" s="91"/>
      <c r="G498" s="88"/>
      <c r="H498" s="94"/>
      <c r="I498" s="91"/>
      <c r="J498" s="94"/>
      <c r="K498" s="94"/>
      <c r="L498" s="94"/>
      <c r="M498" s="147"/>
      <c r="N498" s="147"/>
      <c r="O498" s="147"/>
      <c r="P498" s="147"/>
      <c r="Q498" s="94"/>
      <c r="R498" s="91"/>
      <c r="S498" s="148"/>
      <c r="T498" s="91"/>
      <c r="U498" s="101"/>
      <c r="V498" s="101"/>
      <c r="W498" s="101"/>
    </row>
    <row r="499">
      <c r="A499" s="94"/>
      <c r="B499" s="138"/>
      <c r="C499" s="120"/>
      <c r="D499" s="120"/>
      <c r="E499" s="120"/>
      <c r="F499" s="91"/>
      <c r="G499" s="88"/>
      <c r="H499" s="94"/>
      <c r="I499" s="91"/>
      <c r="J499" s="94"/>
      <c r="K499" s="94"/>
      <c r="L499" s="94"/>
      <c r="M499" s="147"/>
      <c r="N499" s="147"/>
      <c r="O499" s="147"/>
      <c r="P499" s="147"/>
      <c r="Q499" s="94"/>
      <c r="R499" s="91"/>
      <c r="S499" s="148"/>
      <c r="T499" s="91"/>
      <c r="U499" s="101"/>
      <c r="V499" s="101"/>
      <c r="W499" s="101"/>
    </row>
    <row r="500">
      <c r="A500" s="94"/>
      <c r="B500" s="138"/>
      <c r="C500" s="120"/>
      <c r="D500" s="120"/>
      <c r="E500" s="120"/>
      <c r="F500" s="91"/>
      <c r="G500" s="88"/>
      <c r="H500" s="94"/>
      <c r="I500" s="91"/>
      <c r="J500" s="94"/>
      <c r="K500" s="94"/>
      <c r="L500" s="94"/>
      <c r="M500" s="147"/>
      <c r="N500" s="147"/>
      <c r="O500" s="147"/>
      <c r="P500" s="147"/>
      <c r="Q500" s="94"/>
      <c r="R500" s="91"/>
      <c r="S500" s="148"/>
      <c r="T500" s="91"/>
      <c r="U500" s="101"/>
      <c r="V500" s="101"/>
      <c r="W500" s="101"/>
    </row>
    <row r="501">
      <c r="A501" s="94"/>
      <c r="B501" s="138"/>
      <c r="C501" s="120"/>
      <c r="D501" s="120"/>
      <c r="E501" s="120"/>
      <c r="F501" s="91"/>
      <c r="G501" s="88"/>
      <c r="H501" s="94"/>
      <c r="I501" s="91"/>
      <c r="J501" s="94"/>
      <c r="K501" s="94"/>
      <c r="L501" s="94"/>
      <c r="M501" s="147"/>
      <c r="N501" s="147"/>
      <c r="O501" s="147"/>
      <c r="P501" s="147"/>
      <c r="Q501" s="94"/>
      <c r="R501" s="91"/>
      <c r="S501" s="148"/>
      <c r="T501" s="91"/>
      <c r="U501" s="101"/>
      <c r="V501" s="101"/>
      <c r="W501" s="101"/>
    </row>
    <row r="502">
      <c r="A502" s="94"/>
      <c r="B502" s="138"/>
      <c r="C502" s="120"/>
      <c r="D502" s="120"/>
      <c r="E502" s="120"/>
      <c r="F502" s="91"/>
      <c r="G502" s="88"/>
      <c r="H502" s="94"/>
      <c r="I502" s="91"/>
      <c r="J502" s="94"/>
      <c r="K502" s="94"/>
      <c r="L502" s="94"/>
      <c r="M502" s="147"/>
      <c r="N502" s="147"/>
      <c r="O502" s="147"/>
      <c r="P502" s="147"/>
      <c r="Q502" s="94"/>
      <c r="R502" s="91"/>
      <c r="S502" s="148"/>
      <c r="T502" s="91"/>
      <c r="U502" s="101"/>
      <c r="V502" s="101"/>
      <c r="W502" s="101"/>
    </row>
    <row r="503">
      <c r="A503" s="94"/>
      <c r="B503" s="138"/>
      <c r="C503" s="120"/>
      <c r="D503" s="120"/>
      <c r="E503" s="120"/>
      <c r="F503" s="91"/>
      <c r="G503" s="88"/>
      <c r="H503" s="94"/>
      <c r="I503" s="91"/>
      <c r="J503" s="94"/>
      <c r="K503" s="94"/>
      <c r="L503" s="94"/>
      <c r="M503" s="147"/>
      <c r="N503" s="147"/>
      <c r="O503" s="147"/>
      <c r="P503" s="147"/>
      <c r="Q503" s="94"/>
      <c r="R503" s="91"/>
      <c r="S503" s="148"/>
      <c r="T503" s="91"/>
      <c r="U503" s="101"/>
      <c r="V503" s="101"/>
      <c r="W503" s="101"/>
    </row>
    <row r="504">
      <c r="A504" s="94"/>
      <c r="B504" s="138"/>
      <c r="C504" s="120"/>
      <c r="D504" s="120"/>
      <c r="E504" s="120"/>
      <c r="F504" s="91"/>
      <c r="G504" s="88"/>
      <c r="H504" s="94"/>
      <c r="I504" s="91"/>
      <c r="J504" s="94"/>
      <c r="K504" s="94"/>
      <c r="L504" s="94"/>
      <c r="M504" s="147"/>
      <c r="N504" s="147"/>
      <c r="O504" s="147"/>
      <c r="P504" s="147"/>
      <c r="Q504" s="94"/>
      <c r="R504" s="91"/>
      <c r="S504" s="148"/>
      <c r="T504" s="91"/>
      <c r="U504" s="101"/>
      <c r="V504" s="101"/>
      <c r="W504" s="101"/>
    </row>
    <row r="505">
      <c r="A505" s="94"/>
      <c r="B505" s="138"/>
      <c r="C505" s="120"/>
      <c r="D505" s="120"/>
      <c r="E505" s="120"/>
      <c r="F505" s="91"/>
      <c r="G505" s="88"/>
      <c r="H505" s="94"/>
      <c r="I505" s="91"/>
      <c r="J505" s="94"/>
      <c r="K505" s="94"/>
      <c r="L505" s="94"/>
      <c r="M505" s="147"/>
      <c r="N505" s="147"/>
      <c r="O505" s="147"/>
      <c r="P505" s="147"/>
      <c r="Q505" s="94"/>
      <c r="R505" s="91"/>
      <c r="S505" s="148"/>
      <c r="T505" s="91"/>
      <c r="U505" s="101"/>
      <c r="V505" s="101"/>
      <c r="W505" s="101"/>
    </row>
    <row r="506">
      <c r="A506" s="94"/>
      <c r="B506" s="138"/>
      <c r="C506" s="120"/>
      <c r="D506" s="120"/>
      <c r="E506" s="120"/>
      <c r="F506" s="91"/>
      <c r="G506" s="88"/>
      <c r="H506" s="94"/>
      <c r="I506" s="91"/>
      <c r="J506" s="94"/>
      <c r="K506" s="94"/>
      <c r="L506" s="94"/>
      <c r="M506" s="147"/>
      <c r="N506" s="147"/>
      <c r="O506" s="147"/>
      <c r="P506" s="147"/>
      <c r="Q506" s="94"/>
      <c r="R506" s="91"/>
      <c r="S506" s="148"/>
      <c r="T506" s="91"/>
      <c r="U506" s="101"/>
      <c r="V506" s="101"/>
      <c r="W506" s="101"/>
    </row>
    <row r="507">
      <c r="A507" s="94"/>
      <c r="B507" s="138"/>
      <c r="C507" s="120"/>
      <c r="D507" s="120"/>
      <c r="E507" s="120"/>
      <c r="F507" s="91"/>
      <c r="G507" s="88"/>
      <c r="H507" s="94"/>
      <c r="I507" s="91"/>
      <c r="J507" s="94"/>
      <c r="K507" s="94"/>
      <c r="L507" s="94"/>
      <c r="M507" s="147"/>
      <c r="N507" s="147"/>
      <c r="O507" s="147"/>
      <c r="P507" s="147"/>
      <c r="Q507" s="94"/>
      <c r="R507" s="91"/>
      <c r="S507" s="148"/>
      <c r="T507" s="91"/>
      <c r="U507" s="101"/>
      <c r="V507" s="101"/>
      <c r="W507" s="101"/>
    </row>
    <row r="508">
      <c r="A508" s="94"/>
      <c r="B508" s="138"/>
      <c r="C508" s="120"/>
      <c r="D508" s="120"/>
      <c r="E508" s="120"/>
      <c r="F508" s="91"/>
      <c r="G508" s="88"/>
      <c r="H508" s="94"/>
      <c r="I508" s="91"/>
      <c r="J508" s="94"/>
      <c r="K508" s="94"/>
      <c r="L508" s="94"/>
      <c r="M508" s="147"/>
      <c r="N508" s="147"/>
      <c r="O508" s="147"/>
      <c r="P508" s="147"/>
      <c r="Q508" s="94"/>
      <c r="R508" s="91"/>
      <c r="S508" s="148"/>
      <c r="T508" s="91"/>
      <c r="U508" s="101"/>
      <c r="V508" s="101"/>
      <c r="W508" s="101"/>
    </row>
    <row r="509">
      <c r="A509" s="94"/>
      <c r="B509" s="138"/>
      <c r="C509" s="120"/>
      <c r="D509" s="120"/>
      <c r="E509" s="120"/>
      <c r="F509" s="91"/>
      <c r="G509" s="88"/>
      <c r="H509" s="94"/>
      <c r="I509" s="91"/>
      <c r="J509" s="94"/>
      <c r="K509" s="94"/>
      <c r="L509" s="94"/>
      <c r="M509" s="147"/>
      <c r="N509" s="147"/>
      <c r="O509" s="147"/>
      <c r="P509" s="147"/>
      <c r="Q509" s="94"/>
      <c r="R509" s="91"/>
      <c r="S509" s="148"/>
      <c r="T509" s="91"/>
      <c r="U509" s="101"/>
      <c r="V509" s="101"/>
      <c r="W509" s="101"/>
    </row>
    <row r="510">
      <c r="A510" s="94"/>
      <c r="B510" s="138"/>
      <c r="C510" s="120"/>
      <c r="D510" s="120"/>
      <c r="E510" s="120"/>
      <c r="F510" s="91"/>
      <c r="G510" s="88"/>
      <c r="H510" s="94"/>
      <c r="I510" s="91"/>
      <c r="J510" s="94"/>
      <c r="K510" s="94"/>
      <c r="L510" s="94"/>
      <c r="M510" s="147"/>
      <c r="N510" s="147"/>
      <c r="O510" s="147"/>
      <c r="P510" s="147"/>
      <c r="Q510" s="94"/>
      <c r="R510" s="91"/>
      <c r="S510" s="148"/>
      <c r="T510" s="91"/>
      <c r="U510" s="101"/>
      <c r="V510" s="101"/>
      <c r="W510" s="101"/>
    </row>
    <row r="511">
      <c r="A511" s="94"/>
      <c r="B511" s="138"/>
      <c r="C511" s="120"/>
      <c r="D511" s="120"/>
      <c r="E511" s="120"/>
      <c r="F511" s="91"/>
      <c r="G511" s="88"/>
      <c r="H511" s="94"/>
      <c r="I511" s="91"/>
      <c r="J511" s="94"/>
      <c r="K511" s="94"/>
      <c r="L511" s="94"/>
      <c r="M511" s="147"/>
      <c r="N511" s="147"/>
      <c r="O511" s="147"/>
      <c r="P511" s="147"/>
      <c r="Q511" s="94"/>
      <c r="R511" s="91"/>
      <c r="S511" s="148"/>
      <c r="T511" s="91"/>
      <c r="U511" s="101"/>
      <c r="V511" s="101"/>
      <c r="W511" s="101"/>
    </row>
    <row r="512">
      <c r="A512" s="94"/>
      <c r="B512" s="138"/>
      <c r="C512" s="120"/>
      <c r="D512" s="120"/>
      <c r="E512" s="120"/>
      <c r="F512" s="91"/>
      <c r="G512" s="88"/>
      <c r="H512" s="94"/>
      <c r="I512" s="91"/>
      <c r="J512" s="94"/>
      <c r="K512" s="94"/>
      <c r="L512" s="94"/>
      <c r="M512" s="147"/>
      <c r="N512" s="147"/>
      <c r="O512" s="147"/>
      <c r="P512" s="147"/>
      <c r="Q512" s="94"/>
      <c r="R512" s="91"/>
      <c r="S512" s="148"/>
      <c r="T512" s="91"/>
      <c r="U512" s="101"/>
      <c r="V512" s="101"/>
      <c r="W512" s="101"/>
    </row>
    <row r="513">
      <c r="A513" s="94"/>
      <c r="B513" s="138"/>
      <c r="C513" s="120"/>
      <c r="D513" s="120"/>
      <c r="E513" s="120"/>
      <c r="F513" s="91"/>
      <c r="G513" s="88"/>
      <c r="H513" s="94"/>
      <c r="I513" s="91"/>
      <c r="J513" s="94"/>
      <c r="K513" s="94"/>
      <c r="L513" s="94"/>
      <c r="M513" s="147"/>
      <c r="N513" s="147"/>
      <c r="O513" s="147"/>
      <c r="P513" s="147"/>
      <c r="Q513" s="94"/>
      <c r="R513" s="91"/>
      <c r="S513" s="148"/>
      <c r="T513" s="91"/>
      <c r="U513" s="101"/>
      <c r="V513" s="101"/>
      <c r="W513" s="101"/>
    </row>
    <row r="514">
      <c r="A514" s="94"/>
      <c r="B514" s="138"/>
      <c r="C514" s="120"/>
      <c r="D514" s="120"/>
      <c r="E514" s="120"/>
      <c r="F514" s="91"/>
      <c r="G514" s="88"/>
      <c r="H514" s="94"/>
      <c r="I514" s="91"/>
      <c r="J514" s="94"/>
      <c r="K514" s="94"/>
      <c r="L514" s="94"/>
      <c r="M514" s="147"/>
      <c r="N514" s="147"/>
      <c r="O514" s="147"/>
      <c r="P514" s="147"/>
      <c r="Q514" s="94"/>
      <c r="R514" s="91"/>
      <c r="S514" s="148"/>
      <c r="T514" s="91"/>
      <c r="U514" s="101"/>
      <c r="V514" s="101"/>
      <c r="W514" s="101"/>
    </row>
    <row r="515">
      <c r="A515" s="94"/>
      <c r="B515" s="138"/>
      <c r="C515" s="120"/>
      <c r="D515" s="120"/>
      <c r="E515" s="120"/>
      <c r="F515" s="91"/>
      <c r="G515" s="88"/>
      <c r="H515" s="94"/>
      <c r="I515" s="91"/>
      <c r="J515" s="94"/>
      <c r="K515" s="94"/>
      <c r="L515" s="94"/>
      <c r="M515" s="147"/>
      <c r="N515" s="147"/>
      <c r="O515" s="147"/>
      <c r="P515" s="147"/>
      <c r="Q515" s="94"/>
      <c r="R515" s="91"/>
      <c r="S515" s="148"/>
      <c r="T515" s="91"/>
      <c r="U515" s="101"/>
      <c r="V515" s="101"/>
      <c r="W515" s="101"/>
    </row>
    <row r="516">
      <c r="A516" s="94"/>
      <c r="B516" s="138"/>
      <c r="C516" s="120"/>
      <c r="D516" s="120"/>
      <c r="E516" s="120"/>
      <c r="F516" s="91"/>
      <c r="G516" s="88"/>
      <c r="H516" s="94"/>
      <c r="I516" s="91"/>
      <c r="J516" s="94"/>
      <c r="K516" s="94"/>
      <c r="L516" s="94"/>
      <c r="M516" s="147"/>
      <c r="N516" s="147"/>
      <c r="O516" s="147"/>
      <c r="P516" s="147"/>
      <c r="Q516" s="94"/>
      <c r="R516" s="91"/>
      <c r="S516" s="148"/>
      <c r="T516" s="91"/>
      <c r="U516" s="101"/>
      <c r="V516" s="101"/>
      <c r="W516" s="101"/>
    </row>
    <row r="517">
      <c r="A517" s="94"/>
      <c r="B517" s="138"/>
      <c r="C517" s="120"/>
      <c r="D517" s="120"/>
      <c r="E517" s="120"/>
      <c r="F517" s="91"/>
      <c r="G517" s="88"/>
      <c r="H517" s="94"/>
      <c r="I517" s="91"/>
      <c r="J517" s="94"/>
      <c r="K517" s="94"/>
      <c r="L517" s="94"/>
      <c r="M517" s="147"/>
      <c r="N517" s="147"/>
      <c r="O517" s="147"/>
      <c r="P517" s="147"/>
      <c r="Q517" s="94"/>
      <c r="R517" s="91"/>
      <c r="S517" s="148"/>
      <c r="T517" s="91"/>
      <c r="U517" s="101"/>
      <c r="V517" s="101"/>
      <c r="W517" s="101"/>
    </row>
    <row r="518">
      <c r="A518" s="94"/>
      <c r="B518" s="138"/>
      <c r="C518" s="120"/>
      <c r="D518" s="120"/>
      <c r="E518" s="120"/>
      <c r="F518" s="91"/>
      <c r="G518" s="88"/>
      <c r="H518" s="94"/>
      <c r="I518" s="91"/>
      <c r="J518" s="94"/>
      <c r="K518" s="94"/>
      <c r="L518" s="94"/>
      <c r="M518" s="147"/>
      <c r="N518" s="147"/>
      <c r="O518" s="147"/>
      <c r="P518" s="147"/>
      <c r="Q518" s="94"/>
      <c r="R518" s="91"/>
      <c r="S518" s="148"/>
      <c r="T518" s="91"/>
      <c r="U518" s="101"/>
      <c r="V518" s="101"/>
      <c r="W518" s="101"/>
    </row>
    <row r="519">
      <c r="A519" s="94"/>
      <c r="B519" s="138"/>
      <c r="C519" s="120"/>
      <c r="D519" s="120"/>
      <c r="E519" s="120"/>
      <c r="F519" s="91"/>
      <c r="G519" s="88"/>
      <c r="H519" s="94"/>
      <c r="I519" s="91"/>
      <c r="J519" s="94"/>
      <c r="K519" s="94"/>
      <c r="L519" s="94"/>
      <c r="M519" s="147"/>
      <c r="N519" s="147"/>
      <c r="O519" s="147"/>
      <c r="P519" s="147"/>
      <c r="Q519" s="94"/>
      <c r="R519" s="91"/>
      <c r="S519" s="148"/>
      <c r="T519" s="91"/>
      <c r="U519" s="101"/>
      <c r="V519" s="101"/>
      <c r="W519" s="101"/>
    </row>
    <row r="520">
      <c r="A520" s="94"/>
      <c r="B520" s="138"/>
      <c r="C520" s="120"/>
      <c r="D520" s="120"/>
      <c r="E520" s="120"/>
      <c r="F520" s="91"/>
      <c r="G520" s="88"/>
      <c r="H520" s="94"/>
      <c r="I520" s="91"/>
      <c r="J520" s="94"/>
      <c r="K520" s="94"/>
      <c r="L520" s="94"/>
      <c r="M520" s="147"/>
      <c r="N520" s="147"/>
      <c r="O520" s="147"/>
      <c r="P520" s="147"/>
      <c r="Q520" s="94"/>
      <c r="R520" s="91"/>
      <c r="S520" s="148"/>
      <c r="T520" s="91"/>
      <c r="U520" s="101"/>
      <c r="V520" s="101"/>
      <c r="W520" s="101"/>
    </row>
    <row r="521">
      <c r="A521" s="94"/>
      <c r="B521" s="138"/>
      <c r="C521" s="120"/>
      <c r="D521" s="120"/>
      <c r="E521" s="120"/>
      <c r="F521" s="91"/>
      <c r="G521" s="88"/>
      <c r="H521" s="94"/>
      <c r="I521" s="91"/>
      <c r="J521" s="94"/>
      <c r="K521" s="94"/>
      <c r="L521" s="94"/>
      <c r="M521" s="147"/>
      <c r="N521" s="147"/>
      <c r="O521" s="147"/>
      <c r="P521" s="147"/>
      <c r="Q521" s="94"/>
      <c r="R521" s="91"/>
      <c r="S521" s="148"/>
      <c r="T521" s="91"/>
      <c r="U521" s="101"/>
      <c r="V521" s="101"/>
      <c r="W521" s="101"/>
    </row>
    <row r="522">
      <c r="A522" s="94"/>
      <c r="B522" s="138"/>
      <c r="C522" s="120"/>
      <c r="D522" s="120"/>
      <c r="E522" s="120"/>
      <c r="F522" s="91"/>
      <c r="G522" s="88"/>
      <c r="H522" s="94"/>
      <c r="I522" s="91"/>
      <c r="J522" s="94"/>
      <c r="K522" s="94"/>
      <c r="L522" s="94"/>
      <c r="M522" s="147"/>
      <c r="N522" s="147"/>
      <c r="O522" s="147"/>
      <c r="P522" s="147"/>
      <c r="Q522" s="94"/>
      <c r="R522" s="91"/>
      <c r="S522" s="148"/>
      <c r="T522" s="91"/>
      <c r="U522" s="101"/>
      <c r="V522" s="101"/>
      <c r="W522" s="101"/>
    </row>
    <row r="523">
      <c r="A523" s="94"/>
      <c r="B523" s="138"/>
      <c r="C523" s="120"/>
      <c r="D523" s="120"/>
      <c r="E523" s="120"/>
      <c r="F523" s="91"/>
      <c r="G523" s="88"/>
      <c r="H523" s="94"/>
      <c r="I523" s="91"/>
      <c r="J523" s="94"/>
      <c r="K523" s="94"/>
      <c r="L523" s="94"/>
      <c r="M523" s="147"/>
      <c r="N523" s="147"/>
      <c r="O523" s="147"/>
      <c r="P523" s="147"/>
      <c r="Q523" s="94"/>
      <c r="R523" s="91"/>
      <c r="S523" s="148"/>
      <c r="T523" s="91"/>
      <c r="U523" s="101"/>
      <c r="V523" s="101"/>
      <c r="W523" s="101"/>
    </row>
    <row r="524">
      <c r="A524" s="94"/>
      <c r="B524" s="138"/>
      <c r="C524" s="120"/>
      <c r="D524" s="120"/>
      <c r="E524" s="120"/>
      <c r="F524" s="91"/>
      <c r="G524" s="88"/>
      <c r="H524" s="94"/>
      <c r="I524" s="91"/>
      <c r="J524" s="94"/>
      <c r="K524" s="94"/>
      <c r="L524" s="94"/>
      <c r="M524" s="147"/>
      <c r="N524" s="147"/>
      <c r="O524" s="147"/>
      <c r="P524" s="147"/>
      <c r="Q524" s="94"/>
      <c r="R524" s="91"/>
      <c r="S524" s="148"/>
      <c r="T524" s="91"/>
      <c r="U524" s="101"/>
      <c r="V524" s="101"/>
      <c r="W524" s="101"/>
    </row>
    <row r="525">
      <c r="A525" s="94"/>
      <c r="B525" s="138"/>
      <c r="C525" s="120"/>
      <c r="D525" s="120"/>
      <c r="E525" s="120"/>
      <c r="F525" s="91"/>
      <c r="G525" s="88"/>
      <c r="H525" s="94"/>
      <c r="I525" s="91"/>
      <c r="J525" s="94"/>
      <c r="K525" s="94"/>
      <c r="L525" s="94"/>
      <c r="M525" s="147"/>
      <c r="N525" s="147"/>
      <c r="O525" s="147"/>
      <c r="P525" s="147"/>
      <c r="Q525" s="94"/>
      <c r="R525" s="91"/>
      <c r="S525" s="148"/>
      <c r="T525" s="91"/>
      <c r="U525" s="101"/>
      <c r="V525" s="101"/>
      <c r="W525" s="101"/>
    </row>
    <row r="526">
      <c r="A526" s="94"/>
      <c r="B526" s="138"/>
      <c r="C526" s="120"/>
      <c r="D526" s="120"/>
      <c r="E526" s="120"/>
      <c r="F526" s="91"/>
      <c r="G526" s="88"/>
      <c r="H526" s="94"/>
      <c r="I526" s="91"/>
      <c r="J526" s="94"/>
      <c r="K526" s="94"/>
      <c r="L526" s="94"/>
      <c r="M526" s="147"/>
      <c r="N526" s="147"/>
      <c r="O526" s="147"/>
      <c r="P526" s="147"/>
      <c r="Q526" s="94"/>
      <c r="R526" s="91"/>
      <c r="S526" s="148"/>
      <c r="T526" s="91"/>
      <c r="U526" s="101"/>
      <c r="V526" s="101"/>
      <c r="W526" s="101"/>
    </row>
    <row r="527">
      <c r="A527" s="94"/>
      <c r="B527" s="138"/>
      <c r="C527" s="120"/>
      <c r="D527" s="120"/>
      <c r="E527" s="120"/>
      <c r="F527" s="91"/>
      <c r="G527" s="88"/>
      <c r="H527" s="94"/>
      <c r="I527" s="91"/>
      <c r="J527" s="94"/>
      <c r="K527" s="94"/>
      <c r="L527" s="94"/>
      <c r="M527" s="147"/>
      <c r="N527" s="147"/>
      <c r="O527" s="147"/>
      <c r="P527" s="147"/>
      <c r="Q527" s="94"/>
      <c r="R527" s="91"/>
      <c r="S527" s="148"/>
      <c r="T527" s="91"/>
      <c r="U527" s="101"/>
      <c r="V527" s="101"/>
      <c r="W527" s="101"/>
    </row>
    <row r="528">
      <c r="A528" s="94"/>
      <c r="B528" s="138"/>
      <c r="C528" s="120"/>
      <c r="D528" s="120"/>
      <c r="E528" s="120"/>
      <c r="F528" s="91"/>
      <c r="G528" s="88"/>
      <c r="H528" s="94"/>
      <c r="I528" s="91"/>
      <c r="J528" s="94"/>
      <c r="K528" s="94"/>
      <c r="L528" s="94"/>
      <c r="M528" s="147"/>
      <c r="N528" s="147"/>
      <c r="O528" s="147"/>
      <c r="P528" s="147"/>
      <c r="Q528" s="94"/>
      <c r="R528" s="91"/>
      <c r="S528" s="148"/>
      <c r="T528" s="91"/>
      <c r="U528" s="101"/>
      <c r="V528" s="101"/>
      <c r="W528" s="101"/>
    </row>
    <row r="529">
      <c r="A529" s="94"/>
      <c r="B529" s="138"/>
      <c r="C529" s="120"/>
      <c r="D529" s="120"/>
      <c r="E529" s="120"/>
      <c r="F529" s="91"/>
      <c r="G529" s="88"/>
      <c r="H529" s="94"/>
      <c r="I529" s="91"/>
      <c r="J529" s="94"/>
      <c r="K529" s="94"/>
      <c r="L529" s="94"/>
      <c r="M529" s="147"/>
      <c r="N529" s="147"/>
      <c r="O529" s="147"/>
      <c r="P529" s="147"/>
      <c r="Q529" s="94"/>
      <c r="R529" s="91"/>
      <c r="S529" s="148"/>
      <c r="T529" s="91"/>
      <c r="U529" s="101"/>
      <c r="V529" s="101"/>
      <c r="W529" s="101"/>
    </row>
    <row r="530">
      <c r="A530" s="94"/>
      <c r="B530" s="138"/>
      <c r="C530" s="120"/>
      <c r="D530" s="120"/>
      <c r="E530" s="120"/>
      <c r="F530" s="91"/>
      <c r="G530" s="88"/>
      <c r="H530" s="94"/>
      <c r="I530" s="91"/>
      <c r="J530" s="94"/>
      <c r="K530" s="94"/>
      <c r="L530" s="94"/>
      <c r="M530" s="147"/>
      <c r="N530" s="147"/>
      <c r="O530" s="147"/>
      <c r="P530" s="147"/>
      <c r="Q530" s="94"/>
      <c r="R530" s="91"/>
      <c r="S530" s="148"/>
      <c r="T530" s="91"/>
      <c r="U530" s="101"/>
      <c r="V530" s="101"/>
      <c r="W530" s="101"/>
    </row>
    <row r="531">
      <c r="A531" s="94"/>
      <c r="B531" s="138"/>
      <c r="C531" s="120"/>
      <c r="D531" s="120"/>
      <c r="E531" s="120"/>
      <c r="F531" s="91"/>
      <c r="G531" s="88"/>
      <c r="H531" s="94"/>
      <c r="I531" s="91"/>
      <c r="J531" s="94"/>
      <c r="K531" s="94"/>
      <c r="L531" s="94"/>
      <c r="M531" s="147"/>
      <c r="N531" s="147"/>
      <c r="O531" s="147"/>
      <c r="P531" s="147"/>
      <c r="Q531" s="94"/>
      <c r="R531" s="91"/>
      <c r="S531" s="148"/>
      <c r="T531" s="91"/>
      <c r="U531" s="101"/>
      <c r="V531" s="101"/>
      <c r="W531" s="101"/>
    </row>
    <row r="532">
      <c r="A532" s="94"/>
      <c r="B532" s="138"/>
      <c r="C532" s="120"/>
      <c r="D532" s="120"/>
      <c r="E532" s="120"/>
      <c r="F532" s="91"/>
      <c r="G532" s="88"/>
      <c r="H532" s="94"/>
      <c r="I532" s="91"/>
      <c r="J532" s="94"/>
      <c r="K532" s="94"/>
      <c r="L532" s="94"/>
      <c r="M532" s="147"/>
      <c r="N532" s="147"/>
      <c r="O532" s="147"/>
      <c r="P532" s="147"/>
      <c r="Q532" s="94"/>
      <c r="R532" s="91"/>
      <c r="S532" s="148"/>
      <c r="T532" s="91"/>
      <c r="U532" s="101"/>
      <c r="V532" s="101"/>
      <c r="W532" s="101"/>
    </row>
    <row r="533">
      <c r="A533" s="94"/>
      <c r="B533" s="138"/>
      <c r="C533" s="120"/>
      <c r="D533" s="120"/>
      <c r="E533" s="120"/>
      <c r="F533" s="91"/>
      <c r="G533" s="88"/>
      <c r="H533" s="94"/>
      <c r="I533" s="91"/>
      <c r="J533" s="94"/>
      <c r="K533" s="94"/>
      <c r="L533" s="94"/>
      <c r="M533" s="147"/>
      <c r="N533" s="147"/>
      <c r="O533" s="147"/>
      <c r="P533" s="147"/>
      <c r="Q533" s="94"/>
      <c r="R533" s="91"/>
      <c r="S533" s="148"/>
      <c r="T533" s="91"/>
      <c r="U533" s="101"/>
      <c r="V533" s="101"/>
      <c r="W533" s="101"/>
    </row>
    <row r="534">
      <c r="A534" s="94"/>
      <c r="B534" s="138"/>
      <c r="C534" s="120"/>
      <c r="D534" s="120"/>
      <c r="E534" s="120"/>
      <c r="F534" s="91"/>
      <c r="G534" s="88"/>
      <c r="H534" s="94"/>
      <c r="I534" s="91"/>
      <c r="J534" s="94"/>
      <c r="K534" s="94"/>
      <c r="L534" s="94"/>
      <c r="M534" s="147"/>
      <c r="N534" s="147"/>
      <c r="O534" s="147"/>
      <c r="P534" s="147"/>
      <c r="Q534" s="94"/>
      <c r="R534" s="91"/>
      <c r="S534" s="148"/>
      <c r="T534" s="91"/>
      <c r="U534" s="101"/>
      <c r="V534" s="101"/>
      <c r="W534" s="101"/>
    </row>
    <row r="535">
      <c r="A535" s="94"/>
      <c r="B535" s="138"/>
      <c r="C535" s="120"/>
      <c r="D535" s="120"/>
      <c r="E535" s="120"/>
      <c r="F535" s="91"/>
      <c r="G535" s="88"/>
      <c r="H535" s="94"/>
      <c r="I535" s="91"/>
      <c r="J535" s="94"/>
      <c r="K535" s="94"/>
      <c r="L535" s="94"/>
      <c r="M535" s="147"/>
      <c r="N535" s="147"/>
      <c r="O535" s="147"/>
      <c r="P535" s="147"/>
      <c r="Q535" s="94"/>
      <c r="R535" s="91"/>
      <c r="S535" s="148"/>
      <c r="T535" s="91"/>
      <c r="U535" s="101"/>
      <c r="V535" s="101"/>
      <c r="W535" s="101"/>
    </row>
    <row r="536">
      <c r="A536" s="94"/>
      <c r="B536" s="138"/>
      <c r="C536" s="120"/>
      <c r="D536" s="120"/>
      <c r="E536" s="120"/>
      <c r="F536" s="91"/>
      <c r="G536" s="88"/>
      <c r="H536" s="94"/>
      <c r="I536" s="91"/>
      <c r="J536" s="94"/>
      <c r="K536" s="94"/>
      <c r="L536" s="94"/>
      <c r="M536" s="147"/>
      <c r="N536" s="147"/>
      <c r="O536" s="147"/>
      <c r="P536" s="147"/>
      <c r="Q536" s="94"/>
      <c r="R536" s="91"/>
      <c r="S536" s="148"/>
      <c r="T536" s="91"/>
      <c r="U536" s="101"/>
      <c r="V536" s="101"/>
      <c r="W536" s="101"/>
    </row>
    <row r="537">
      <c r="A537" s="94"/>
      <c r="B537" s="138"/>
      <c r="C537" s="120"/>
      <c r="D537" s="120"/>
      <c r="E537" s="120"/>
      <c r="F537" s="91"/>
      <c r="G537" s="88"/>
      <c r="H537" s="94"/>
      <c r="I537" s="91"/>
      <c r="J537" s="94"/>
      <c r="K537" s="94"/>
      <c r="L537" s="94"/>
      <c r="M537" s="147"/>
      <c r="N537" s="147"/>
      <c r="O537" s="147"/>
      <c r="P537" s="147"/>
      <c r="Q537" s="94"/>
      <c r="R537" s="91"/>
      <c r="S537" s="148"/>
      <c r="T537" s="91"/>
      <c r="U537" s="101"/>
      <c r="V537" s="101"/>
      <c r="W537" s="101"/>
    </row>
    <row r="538">
      <c r="A538" s="94"/>
      <c r="B538" s="138"/>
      <c r="C538" s="120"/>
      <c r="D538" s="120"/>
      <c r="E538" s="120"/>
      <c r="F538" s="91"/>
      <c r="G538" s="88"/>
      <c r="H538" s="94"/>
      <c r="I538" s="91"/>
      <c r="J538" s="94"/>
      <c r="K538" s="94"/>
      <c r="L538" s="94"/>
      <c r="M538" s="147"/>
      <c r="N538" s="147"/>
      <c r="O538" s="147"/>
      <c r="P538" s="147"/>
      <c r="Q538" s="94"/>
      <c r="R538" s="91"/>
      <c r="S538" s="148"/>
      <c r="T538" s="91"/>
      <c r="U538" s="101"/>
      <c r="V538" s="101"/>
      <c r="W538" s="101"/>
    </row>
    <row r="539">
      <c r="A539" s="94"/>
      <c r="B539" s="138"/>
      <c r="C539" s="120"/>
      <c r="D539" s="120"/>
      <c r="E539" s="120"/>
      <c r="F539" s="91"/>
      <c r="G539" s="88"/>
      <c r="H539" s="94"/>
      <c r="I539" s="91"/>
      <c r="J539" s="94"/>
      <c r="K539" s="94"/>
      <c r="L539" s="94"/>
      <c r="M539" s="147"/>
      <c r="N539" s="147"/>
      <c r="O539" s="147"/>
      <c r="P539" s="147"/>
      <c r="Q539" s="94"/>
      <c r="R539" s="91"/>
      <c r="S539" s="148"/>
      <c r="T539" s="91"/>
      <c r="U539" s="101"/>
      <c r="V539" s="101"/>
      <c r="W539" s="101"/>
    </row>
    <row r="540">
      <c r="A540" s="94"/>
      <c r="B540" s="138"/>
      <c r="C540" s="120"/>
      <c r="D540" s="120"/>
      <c r="E540" s="120"/>
      <c r="F540" s="91"/>
      <c r="G540" s="88"/>
      <c r="H540" s="94"/>
      <c r="I540" s="91"/>
      <c r="J540" s="94"/>
      <c r="K540" s="94"/>
      <c r="L540" s="94"/>
      <c r="M540" s="147"/>
      <c r="N540" s="147"/>
      <c r="O540" s="147"/>
      <c r="P540" s="147"/>
      <c r="Q540" s="94"/>
      <c r="R540" s="91"/>
      <c r="S540" s="148"/>
      <c r="T540" s="91"/>
      <c r="U540" s="101"/>
      <c r="V540" s="101"/>
      <c r="W540" s="101"/>
    </row>
    <row r="541">
      <c r="A541" s="94"/>
      <c r="B541" s="138"/>
      <c r="C541" s="120"/>
      <c r="D541" s="120"/>
      <c r="E541" s="120"/>
      <c r="F541" s="91"/>
      <c r="G541" s="88"/>
      <c r="H541" s="94"/>
      <c r="I541" s="91"/>
      <c r="J541" s="94"/>
      <c r="K541" s="94"/>
      <c r="L541" s="94"/>
      <c r="M541" s="147"/>
      <c r="N541" s="147"/>
      <c r="O541" s="147"/>
      <c r="P541" s="147"/>
      <c r="Q541" s="94"/>
      <c r="R541" s="91"/>
      <c r="S541" s="148"/>
      <c r="T541" s="91"/>
      <c r="U541" s="101"/>
      <c r="V541" s="101"/>
      <c r="W541" s="101"/>
    </row>
    <row r="542">
      <c r="A542" s="94"/>
      <c r="B542" s="138"/>
      <c r="C542" s="120"/>
      <c r="D542" s="120"/>
      <c r="E542" s="120"/>
      <c r="F542" s="91"/>
      <c r="G542" s="88"/>
      <c r="H542" s="94"/>
      <c r="I542" s="91"/>
      <c r="J542" s="94"/>
      <c r="K542" s="94"/>
      <c r="L542" s="94"/>
      <c r="M542" s="147"/>
      <c r="N542" s="147"/>
      <c r="O542" s="147"/>
      <c r="P542" s="147"/>
      <c r="Q542" s="94"/>
      <c r="R542" s="91"/>
      <c r="S542" s="148"/>
      <c r="T542" s="91"/>
      <c r="U542" s="101"/>
      <c r="V542" s="101"/>
      <c r="W542" s="101"/>
    </row>
    <row r="543">
      <c r="A543" s="94"/>
      <c r="B543" s="138"/>
      <c r="C543" s="120"/>
      <c r="D543" s="120"/>
      <c r="E543" s="120"/>
      <c r="F543" s="91"/>
      <c r="G543" s="88"/>
      <c r="H543" s="94"/>
      <c r="I543" s="91"/>
      <c r="J543" s="94"/>
      <c r="K543" s="94"/>
      <c r="L543" s="94"/>
      <c r="M543" s="147"/>
      <c r="N543" s="147"/>
      <c r="O543" s="147"/>
      <c r="P543" s="147"/>
      <c r="Q543" s="94"/>
      <c r="R543" s="91"/>
      <c r="S543" s="148"/>
      <c r="T543" s="91"/>
      <c r="U543" s="101"/>
      <c r="V543" s="101"/>
      <c r="W543" s="101"/>
    </row>
    <row r="544">
      <c r="A544" s="94"/>
      <c r="B544" s="138"/>
      <c r="C544" s="120"/>
      <c r="D544" s="120"/>
      <c r="E544" s="120"/>
      <c r="F544" s="91"/>
      <c r="G544" s="88"/>
      <c r="H544" s="94"/>
      <c r="I544" s="91"/>
      <c r="J544" s="94"/>
      <c r="K544" s="94"/>
      <c r="L544" s="94"/>
      <c r="M544" s="147"/>
      <c r="N544" s="147"/>
      <c r="O544" s="147"/>
      <c r="P544" s="147"/>
      <c r="Q544" s="94"/>
      <c r="R544" s="91"/>
      <c r="S544" s="148"/>
      <c r="T544" s="91"/>
      <c r="U544" s="101"/>
      <c r="V544" s="101"/>
      <c r="W544" s="101"/>
    </row>
    <row r="545">
      <c r="A545" s="94"/>
      <c r="B545" s="138"/>
      <c r="C545" s="120"/>
      <c r="D545" s="120"/>
      <c r="E545" s="120"/>
      <c r="F545" s="91"/>
      <c r="G545" s="88"/>
      <c r="H545" s="94"/>
      <c r="I545" s="91"/>
      <c r="J545" s="94"/>
      <c r="K545" s="94"/>
      <c r="L545" s="94"/>
      <c r="M545" s="147"/>
      <c r="N545" s="147"/>
      <c r="O545" s="147"/>
      <c r="P545" s="147"/>
      <c r="Q545" s="94"/>
      <c r="R545" s="91"/>
      <c r="S545" s="148"/>
      <c r="T545" s="91"/>
      <c r="U545" s="101"/>
      <c r="V545" s="101"/>
      <c r="W545" s="101"/>
    </row>
    <row r="546">
      <c r="A546" s="94"/>
      <c r="B546" s="138"/>
      <c r="C546" s="120"/>
      <c r="D546" s="120"/>
      <c r="E546" s="120"/>
      <c r="F546" s="91"/>
      <c r="G546" s="88"/>
      <c r="H546" s="94"/>
      <c r="I546" s="91"/>
      <c r="J546" s="94"/>
      <c r="K546" s="94"/>
      <c r="L546" s="94"/>
      <c r="M546" s="147"/>
      <c r="N546" s="147"/>
      <c r="O546" s="147"/>
      <c r="P546" s="147"/>
      <c r="Q546" s="94"/>
      <c r="R546" s="91"/>
      <c r="S546" s="148"/>
      <c r="T546" s="91"/>
      <c r="U546" s="101"/>
      <c r="V546" s="101"/>
      <c r="W546" s="101"/>
    </row>
    <row r="547">
      <c r="A547" s="94"/>
      <c r="B547" s="138"/>
      <c r="C547" s="120"/>
      <c r="D547" s="120"/>
      <c r="E547" s="120"/>
      <c r="F547" s="91"/>
      <c r="G547" s="88"/>
      <c r="H547" s="94"/>
      <c r="I547" s="91"/>
      <c r="J547" s="94"/>
      <c r="K547" s="94"/>
      <c r="L547" s="94"/>
      <c r="M547" s="147"/>
      <c r="N547" s="147"/>
      <c r="O547" s="147"/>
      <c r="P547" s="147"/>
      <c r="Q547" s="94"/>
      <c r="R547" s="91"/>
      <c r="S547" s="148"/>
      <c r="T547" s="91"/>
      <c r="U547" s="101"/>
      <c r="V547" s="101"/>
      <c r="W547" s="101"/>
    </row>
    <row r="548">
      <c r="A548" s="94"/>
      <c r="B548" s="138"/>
      <c r="C548" s="120"/>
      <c r="D548" s="120"/>
      <c r="E548" s="120"/>
      <c r="F548" s="91"/>
      <c r="G548" s="88"/>
      <c r="H548" s="94"/>
      <c r="I548" s="91"/>
      <c r="J548" s="94"/>
      <c r="K548" s="94"/>
      <c r="L548" s="94"/>
      <c r="M548" s="147"/>
      <c r="N548" s="147"/>
      <c r="O548" s="147"/>
      <c r="P548" s="147"/>
      <c r="Q548" s="94"/>
      <c r="R548" s="91"/>
      <c r="S548" s="148"/>
      <c r="T548" s="91"/>
      <c r="U548" s="101"/>
      <c r="V548" s="101"/>
      <c r="W548" s="101"/>
    </row>
    <row r="549">
      <c r="A549" s="94"/>
      <c r="B549" s="138"/>
      <c r="C549" s="120"/>
      <c r="D549" s="120"/>
      <c r="E549" s="120"/>
      <c r="F549" s="91"/>
      <c r="G549" s="88"/>
      <c r="H549" s="94"/>
      <c r="I549" s="91"/>
      <c r="J549" s="94"/>
      <c r="K549" s="94"/>
      <c r="L549" s="94"/>
      <c r="M549" s="147"/>
      <c r="N549" s="147"/>
      <c r="O549" s="147"/>
      <c r="P549" s="147"/>
      <c r="Q549" s="94"/>
      <c r="R549" s="91"/>
      <c r="S549" s="148"/>
      <c r="T549" s="91"/>
      <c r="U549" s="101"/>
      <c r="V549" s="101"/>
      <c r="W549" s="101"/>
    </row>
    <row r="550">
      <c r="A550" s="94"/>
      <c r="B550" s="138"/>
      <c r="C550" s="120"/>
      <c r="D550" s="120"/>
      <c r="E550" s="120"/>
      <c r="F550" s="91"/>
      <c r="G550" s="88"/>
      <c r="H550" s="94"/>
      <c r="I550" s="91"/>
      <c r="J550" s="94"/>
      <c r="K550" s="94"/>
      <c r="L550" s="94"/>
      <c r="M550" s="147"/>
      <c r="N550" s="147"/>
      <c r="O550" s="147"/>
      <c r="P550" s="147"/>
      <c r="Q550" s="94"/>
      <c r="R550" s="91"/>
      <c r="S550" s="148"/>
      <c r="T550" s="91"/>
      <c r="U550" s="101"/>
      <c r="V550" s="101"/>
      <c r="W550" s="101"/>
    </row>
    <row r="551">
      <c r="A551" s="94"/>
      <c r="B551" s="138"/>
      <c r="C551" s="120"/>
      <c r="D551" s="120"/>
      <c r="E551" s="120"/>
      <c r="F551" s="91"/>
      <c r="G551" s="88"/>
      <c r="H551" s="94"/>
      <c r="I551" s="91"/>
      <c r="J551" s="94"/>
      <c r="K551" s="94"/>
      <c r="L551" s="94"/>
      <c r="M551" s="147"/>
      <c r="N551" s="147"/>
      <c r="O551" s="147"/>
      <c r="P551" s="147"/>
      <c r="Q551" s="94"/>
      <c r="R551" s="91"/>
      <c r="S551" s="148"/>
      <c r="T551" s="91"/>
      <c r="U551" s="101"/>
      <c r="V551" s="101"/>
      <c r="W551" s="101"/>
    </row>
    <row r="552">
      <c r="A552" s="94"/>
      <c r="B552" s="138"/>
      <c r="C552" s="120"/>
      <c r="D552" s="120"/>
      <c r="E552" s="120"/>
      <c r="F552" s="91"/>
      <c r="G552" s="88"/>
      <c r="H552" s="94"/>
      <c r="I552" s="91"/>
      <c r="J552" s="94"/>
      <c r="K552" s="94"/>
      <c r="L552" s="94"/>
      <c r="M552" s="147"/>
      <c r="N552" s="147"/>
      <c r="O552" s="147"/>
      <c r="P552" s="147"/>
      <c r="Q552" s="94"/>
      <c r="R552" s="91"/>
      <c r="S552" s="148"/>
      <c r="T552" s="91"/>
      <c r="U552" s="101"/>
      <c r="V552" s="101"/>
      <c r="W552" s="101"/>
    </row>
    <row r="553">
      <c r="A553" s="94"/>
      <c r="B553" s="138"/>
      <c r="C553" s="120"/>
      <c r="D553" s="120"/>
      <c r="E553" s="120"/>
      <c r="F553" s="91"/>
      <c r="G553" s="88"/>
      <c r="H553" s="94"/>
      <c r="I553" s="91"/>
      <c r="J553" s="94"/>
      <c r="K553" s="94"/>
      <c r="L553" s="94"/>
      <c r="M553" s="147"/>
      <c r="N553" s="147"/>
      <c r="O553" s="147"/>
      <c r="P553" s="147"/>
      <c r="Q553" s="94"/>
      <c r="R553" s="91"/>
      <c r="S553" s="148"/>
      <c r="T553" s="91"/>
      <c r="U553" s="101"/>
      <c r="V553" s="101"/>
      <c r="W553" s="101"/>
    </row>
    <row r="554">
      <c r="A554" s="94"/>
      <c r="B554" s="138"/>
      <c r="C554" s="120"/>
      <c r="D554" s="120"/>
      <c r="E554" s="120"/>
      <c r="F554" s="91"/>
      <c r="G554" s="88"/>
      <c r="H554" s="94"/>
      <c r="I554" s="91"/>
      <c r="J554" s="94"/>
      <c r="K554" s="94"/>
      <c r="L554" s="94"/>
      <c r="M554" s="147"/>
      <c r="N554" s="147"/>
      <c r="O554" s="147"/>
      <c r="P554" s="147"/>
      <c r="Q554" s="94"/>
      <c r="R554" s="91"/>
      <c r="S554" s="148"/>
      <c r="T554" s="91"/>
      <c r="U554" s="101"/>
      <c r="V554" s="101"/>
      <c r="W554" s="101"/>
    </row>
    <row r="555">
      <c r="A555" s="94"/>
      <c r="B555" s="138"/>
      <c r="C555" s="120"/>
      <c r="D555" s="120"/>
      <c r="E555" s="120"/>
      <c r="F555" s="91"/>
      <c r="G555" s="88"/>
      <c r="H555" s="94"/>
      <c r="I555" s="91"/>
      <c r="J555" s="94"/>
      <c r="K555" s="94"/>
      <c r="L555" s="94"/>
      <c r="M555" s="147"/>
      <c r="N555" s="147"/>
      <c r="O555" s="147"/>
      <c r="P555" s="147"/>
      <c r="Q555" s="94"/>
      <c r="R555" s="91"/>
      <c r="S555" s="148"/>
      <c r="T555" s="91"/>
      <c r="U555" s="101"/>
      <c r="V555" s="101"/>
      <c r="W555" s="101"/>
    </row>
    <row r="556">
      <c r="A556" s="94"/>
      <c r="B556" s="138"/>
      <c r="C556" s="120"/>
      <c r="D556" s="120"/>
      <c r="E556" s="120"/>
      <c r="F556" s="91"/>
      <c r="G556" s="88"/>
      <c r="H556" s="94"/>
      <c r="I556" s="91"/>
      <c r="J556" s="94"/>
      <c r="K556" s="94"/>
      <c r="L556" s="94"/>
      <c r="M556" s="147"/>
      <c r="N556" s="147"/>
      <c r="O556" s="147"/>
      <c r="P556" s="147"/>
      <c r="Q556" s="94"/>
      <c r="R556" s="91"/>
      <c r="S556" s="148"/>
      <c r="T556" s="91"/>
      <c r="U556" s="101"/>
      <c r="V556" s="101"/>
      <c r="W556" s="101"/>
    </row>
    <row r="557">
      <c r="A557" s="94"/>
      <c r="B557" s="138"/>
      <c r="C557" s="120"/>
      <c r="D557" s="120"/>
      <c r="E557" s="120"/>
      <c r="F557" s="91"/>
      <c r="G557" s="88"/>
      <c r="H557" s="94"/>
      <c r="I557" s="91"/>
      <c r="J557" s="94"/>
      <c r="K557" s="94"/>
      <c r="L557" s="94"/>
      <c r="M557" s="147"/>
      <c r="N557" s="147"/>
      <c r="O557" s="147"/>
      <c r="P557" s="147"/>
      <c r="Q557" s="94"/>
      <c r="R557" s="91"/>
      <c r="S557" s="148"/>
      <c r="T557" s="91"/>
      <c r="U557" s="101"/>
      <c r="V557" s="101"/>
      <c r="W557" s="101"/>
    </row>
    <row r="558">
      <c r="A558" s="94"/>
      <c r="B558" s="138"/>
      <c r="C558" s="120"/>
      <c r="D558" s="120"/>
      <c r="E558" s="120"/>
      <c r="F558" s="91"/>
      <c r="G558" s="88"/>
      <c r="H558" s="94"/>
      <c r="I558" s="91"/>
      <c r="J558" s="94"/>
      <c r="K558" s="94"/>
      <c r="L558" s="94"/>
      <c r="M558" s="147"/>
      <c r="N558" s="147"/>
      <c r="O558" s="147"/>
      <c r="P558" s="147"/>
      <c r="Q558" s="94"/>
      <c r="R558" s="91"/>
      <c r="S558" s="148"/>
      <c r="T558" s="91"/>
      <c r="U558" s="101"/>
      <c r="V558" s="101"/>
      <c r="W558" s="101"/>
    </row>
    <row r="559">
      <c r="A559" s="94"/>
      <c r="B559" s="138"/>
      <c r="C559" s="120"/>
      <c r="D559" s="120"/>
      <c r="E559" s="120"/>
      <c r="F559" s="91"/>
      <c r="G559" s="88"/>
      <c r="H559" s="94"/>
      <c r="I559" s="91"/>
      <c r="J559" s="94"/>
      <c r="K559" s="94"/>
      <c r="L559" s="94"/>
      <c r="M559" s="147"/>
      <c r="N559" s="147"/>
      <c r="O559" s="147"/>
      <c r="P559" s="147"/>
      <c r="Q559" s="94"/>
      <c r="R559" s="91"/>
      <c r="S559" s="148"/>
      <c r="T559" s="91"/>
      <c r="U559" s="101"/>
      <c r="V559" s="101"/>
      <c r="W559" s="101"/>
    </row>
    <row r="560">
      <c r="A560" s="94"/>
      <c r="B560" s="138"/>
      <c r="C560" s="120"/>
      <c r="D560" s="120"/>
      <c r="E560" s="120"/>
      <c r="F560" s="91"/>
      <c r="G560" s="88"/>
      <c r="H560" s="94"/>
      <c r="I560" s="91"/>
      <c r="J560" s="94"/>
      <c r="K560" s="94"/>
      <c r="L560" s="94"/>
      <c r="M560" s="147"/>
      <c r="N560" s="147"/>
      <c r="O560" s="147"/>
      <c r="P560" s="147"/>
      <c r="Q560" s="94"/>
      <c r="R560" s="91"/>
      <c r="S560" s="148"/>
      <c r="T560" s="91"/>
      <c r="U560" s="101"/>
      <c r="V560" s="101"/>
      <c r="W560" s="101"/>
    </row>
    <row r="561">
      <c r="A561" s="94"/>
      <c r="B561" s="138"/>
      <c r="C561" s="120"/>
      <c r="D561" s="120"/>
      <c r="E561" s="120"/>
      <c r="F561" s="91"/>
      <c r="G561" s="88"/>
      <c r="H561" s="94"/>
      <c r="I561" s="91"/>
      <c r="J561" s="94"/>
      <c r="K561" s="94"/>
      <c r="L561" s="94"/>
      <c r="M561" s="147"/>
      <c r="N561" s="147"/>
      <c r="O561" s="147"/>
      <c r="P561" s="147"/>
      <c r="Q561" s="94"/>
      <c r="R561" s="91"/>
      <c r="S561" s="148"/>
      <c r="T561" s="91"/>
      <c r="U561" s="101"/>
      <c r="V561" s="101"/>
      <c r="W561" s="101"/>
    </row>
    <row r="562">
      <c r="A562" s="94"/>
      <c r="B562" s="138"/>
      <c r="C562" s="120"/>
      <c r="D562" s="120"/>
      <c r="E562" s="120"/>
      <c r="F562" s="91"/>
      <c r="G562" s="88"/>
      <c r="H562" s="94"/>
      <c r="I562" s="91"/>
      <c r="J562" s="94"/>
      <c r="K562" s="94"/>
      <c r="L562" s="94"/>
      <c r="M562" s="147"/>
      <c r="N562" s="147"/>
      <c r="O562" s="147"/>
      <c r="P562" s="147"/>
      <c r="Q562" s="94"/>
      <c r="R562" s="91"/>
      <c r="S562" s="148"/>
      <c r="T562" s="91"/>
      <c r="U562" s="101"/>
      <c r="V562" s="101"/>
      <c r="W562" s="101"/>
    </row>
    <row r="563">
      <c r="A563" s="94"/>
      <c r="B563" s="138"/>
      <c r="C563" s="120"/>
      <c r="D563" s="120"/>
      <c r="E563" s="120"/>
      <c r="F563" s="91"/>
      <c r="G563" s="88"/>
      <c r="H563" s="94"/>
      <c r="I563" s="91"/>
      <c r="J563" s="94"/>
      <c r="K563" s="94"/>
      <c r="L563" s="94"/>
      <c r="M563" s="147"/>
      <c r="N563" s="147"/>
      <c r="O563" s="147"/>
      <c r="P563" s="147"/>
      <c r="Q563" s="94"/>
      <c r="R563" s="91"/>
      <c r="S563" s="148"/>
      <c r="T563" s="91"/>
      <c r="U563" s="101"/>
      <c r="V563" s="101"/>
      <c r="W563" s="101"/>
    </row>
    <row r="564">
      <c r="A564" s="94"/>
      <c r="B564" s="138"/>
      <c r="C564" s="120"/>
      <c r="D564" s="120"/>
      <c r="E564" s="120"/>
      <c r="F564" s="91"/>
      <c r="G564" s="88"/>
      <c r="H564" s="94"/>
      <c r="I564" s="91"/>
      <c r="J564" s="94"/>
      <c r="K564" s="94"/>
      <c r="L564" s="94"/>
      <c r="M564" s="147"/>
      <c r="N564" s="147"/>
      <c r="O564" s="147"/>
      <c r="P564" s="147"/>
      <c r="Q564" s="94"/>
      <c r="R564" s="91"/>
      <c r="S564" s="148"/>
      <c r="T564" s="91"/>
      <c r="U564" s="101"/>
      <c r="V564" s="101"/>
      <c r="W564" s="101"/>
    </row>
    <row r="565">
      <c r="A565" s="94"/>
      <c r="B565" s="138"/>
      <c r="C565" s="120"/>
      <c r="D565" s="120"/>
      <c r="E565" s="120"/>
      <c r="F565" s="91"/>
      <c r="G565" s="88"/>
      <c r="H565" s="94"/>
      <c r="I565" s="91"/>
      <c r="J565" s="94"/>
      <c r="K565" s="94"/>
      <c r="L565" s="94"/>
      <c r="M565" s="147"/>
      <c r="N565" s="147"/>
      <c r="O565" s="147"/>
      <c r="P565" s="147"/>
      <c r="Q565" s="94"/>
      <c r="R565" s="91"/>
      <c r="S565" s="148"/>
      <c r="T565" s="91"/>
      <c r="U565" s="101"/>
      <c r="V565" s="101"/>
      <c r="W565" s="101"/>
    </row>
    <row r="566">
      <c r="A566" s="94"/>
      <c r="B566" s="138"/>
      <c r="C566" s="120"/>
      <c r="D566" s="120"/>
      <c r="E566" s="120"/>
      <c r="F566" s="91"/>
      <c r="G566" s="88"/>
      <c r="H566" s="94"/>
      <c r="I566" s="91"/>
      <c r="J566" s="94"/>
      <c r="K566" s="94"/>
      <c r="L566" s="94"/>
      <c r="M566" s="147"/>
      <c r="N566" s="147"/>
      <c r="O566" s="147"/>
      <c r="P566" s="147"/>
      <c r="Q566" s="94"/>
      <c r="R566" s="91"/>
      <c r="S566" s="148"/>
      <c r="T566" s="91"/>
      <c r="U566" s="101"/>
      <c r="V566" s="101"/>
      <c r="W566" s="101"/>
    </row>
    <row r="567">
      <c r="A567" s="94"/>
      <c r="B567" s="138"/>
      <c r="C567" s="120"/>
      <c r="D567" s="120"/>
      <c r="E567" s="120"/>
      <c r="F567" s="91"/>
      <c r="G567" s="88"/>
      <c r="H567" s="94"/>
      <c r="I567" s="91"/>
      <c r="J567" s="94"/>
      <c r="K567" s="94"/>
      <c r="L567" s="94"/>
      <c r="M567" s="147"/>
      <c r="N567" s="147"/>
      <c r="O567" s="147"/>
      <c r="P567" s="147"/>
      <c r="Q567" s="94"/>
      <c r="R567" s="91"/>
      <c r="S567" s="148"/>
      <c r="T567" s="91"/>
      <c r="U567" s="101"/>
      <c r="V567" s="101"/>
      <c r="W567" s="101"/>
    </row>
    <row r="568">
      <c r="A568" s="94"/>
      <c r="B568" s="138"/>
      <c r="C568" s="120"/>
      <c r="D568" s="120"/>
      <c r="E568" s="120"/>
      <c r="F568" s="91"/>
      <c r="G568" s="88"/>
      <c r="H568" s="94"/>
      <c r="I568" s="91"/>
      <c r="J568" s="94"/>
      <c r="K568" s="94"/>
      <c r="L568" s="94"/>
      <c r="M568" s="147"/>
      <c r="N568" s="147"/>
      <c r="O568" s="147"/>
      <c r="P568" s="147"/>
      <c r="Q568" s="94"/>
      <c r="R568" s="91"/>
      <c r="S568" s="148"/>
      <c r="T568" s="91"/>
      <c r="U568" s="101"/>
      <c r="V568" s="101"/>
      <c r="W568" s="101"/>
    </row>
    <row r="569">
      <c r="A569" s="94"/>
      <c r="B569" s="138"/>
      <c r="C569" s="120"/>
      <c r="D569" s="120"/>
      <c r="E569" s="120"/>
      <c r="F569" s="91"/>
      <c r="G569" s="88"/>
      <c r="H569" s="94"/>
      <c r="I569" s="91"/>
      <c r="J569" s="94"/>
      <c r="K569" s="94"/>
      <c r="L569" s="94"/>
      <c r="M569" s="147"/>
      <c r="N569" s="147"/>
      <c r="O569" s="147"/>
      <c r="P569" s="147"/>
      <c r="Q569" s="94"/>
      <c r="R569" s="91"/>
      <c r="S569" s="148"/>
      <c r="T569" s="91"/>
      <c r="U569" s="101"/>
      <c r="V569" s="101"/>
      <c r="W569" s="101"/>
    </row>
    <row r="570">
      <c r="A570" s="94"/>
      <c r="B570" s="138"/>
      <c r="C570" s="120"/>
      <c r="D570" s="120"/>
      <c r="E570" s="120"/>
      <c r="F570" s="91"/>
      <c r="G570" s="88"/>
      <c r="H570" s="94"/>
      <c r="I570" s="91"/>
      <c r="J570" s="94"/>
      <c r="K570" s="94"/>
      <c r="L570" s="94"/>
      <c r="M570" s="147"/>
      <c r="N570" s="147"/>
      <c r="O570" s="147"/>
      <c r="P570" s="147"/>
      <c r="Q570" s="94"/>
      <c r="R570" s="91"/>
      <c r="S570" s="148"/>
      <c r="T570" s="91"/>
      <c r="U570" s="101"/>
      <c r="V570" s="101"/>
      <c r="W570" s="101"/>
    </row>
    <row r="571">
      <c r="A571" s="94"/>
      <c r="B571" s="138"/>
      <c r="C571" s="120"/>
      <c r="D571" s="120"/>
      <c r="E571" s="120"/>
      <c r="F571" s="91"/>
      <c r="G571" s="88"/>
      <c r="H571" s="94"/>
      <c r="I571" s="91"/>
      <c r="J571" s="94"/>
      <c r="K571" s="94"/>
      <c r="L571" s="94"/>
      <c r="M571" s="147"/>
      <c r="N571" s="147"/>
      <c r="O571" s="147"/>
      <c r="P571" s="147"/>
      <c r="Q571" s="94"/>
      <c r="R571" s="91"/>
      <c r="S571" s="148"/>
      <c r="T571" s="91"/>
      <c r="U571" s="101"/>
      <c r="V571" s="101"/>
      <c r="W571" s="101"/>
    </row>
    <row r="572">
      <c r="A572" s="94"/>
      <c r="B572" s="138"/>
      <c r="C572" s="120"/>
      <c r="D572" s="120"/>
      <c r="E572" s="120"/>
      <c r="F572" s="91"/>
      <c r="G572" s="88"/>
      <c r="H572" s="94"/>
      <c r="I572" s="91"/>
      <c r="J572" s="94"/>
      <c r="K572" s="94"/>
      <c r="L572" s="94"/>
      <c r="M572" s="147"/>
      <c r="N572" s="147"/>
      <c r="O572" s="147"/>
      <c r="P572" s="147"/>
      <c r="Q572" s="94"/>
      <c r="R572" s="91"/>
      <c r="S572" s="148"/>
      <c r="T572" s="91"/>
      <c r="U572" s="101"/>
      <c r="V572" s="101"/>
      <c r="W572" s="101"/>
    </row>
    <row r="573">
      <c r="A573" s="94"/>
      <c r="B573" s="138"/>
      <c r="C573" s="120"/>
      <c r="D573" s="120"/>
      <c r="E573" s="120"/>
      <c r="F573" s="91"/>
      <c r="G573" s="88"/>
      <c r="H573" s="94"/>
      <c r="I573" s="91"/>
      <c r="J573" s="94"/>
      <c r="K573" s="94"/>
      <c r="L573" s="94"/>
      <c r="M573" s="147"/>
      <c r="N573" s="147"/>
      <c r="O573" s="147"/>
      <c r="P573" s="147"/>
      <c r="Q573" s="94"/>
      <c r="R573" s="91"/>
      <c r="S573" s="148"/>
      <c r="T573" s="91"/>
      <c r="U573" s="101"/>
      <c r="V573" s="101"/>
      <c r="W573" s="101"/>
    </row>
    <row r="574">
      <c r="A574" s="94"/>
      <c r="B574" s="138"/>
      <c r="C574" s="120"/>
      <c r="D574" s="120"/>
      <c r="E574" s="120"/>
      <c r="F574" s="91"/>
      <c r="G574" s="88"/>
      <c r="H574" s="94"/>
      <c r="I574" s="91"/>
      <c r="J574" s="94"/>
      <c r="K574" s="94"/>
      <c r="L574" s="94"/>
      <c r="M574" s="147"/>
      <c r="N574" s="147"/>
      <c r="O574" s="147"/>
      <c r="P574" s="147"/>
      <c r="Q574" s="94"/>
      <c r="R574" s="91"/>
      <c r="S574" s="148"/>
      <c r="T574" s="91"/>
      <c r="U574" s="101"/>
      <c r="V574" s="101"/>
      <c r="W574" s="101"/>
    </row>
    <row r="575">
      <c r="A575" s="94"/>
      <c r="B575" s="138"/>
      <c r="C575" s="120"/>
      <c r="D575" s="120"/>
      <c r="E575" s="120"/>
      <c r="F575" s="91"/>
      <c r="G575" s="88"/>
      <c r="H575" s="94"/>
      <c r="I575" s="91"/>
      <c r="J575" s="94"/>
      <c r="K575" s="94"/>
      <c r="L575" s="94"/>
      <c r="M575" s="147"/>
      <c r="N575" s="147"/>
      <c r="O575" s="147"/>
      <c r="P575" s="147"/>
      <c r="Q575" s="94"/>
      <c r="R575" s="91"/>
      <c r="S575" s="148"/>
      <c r="T575" s="91"/>
      <c r="U575" s="101"/>
      <c r="V575" s="101"/>
      <c r="W575" s="101"/>
    </row>
    <row r="576">
      <c r="A576" s="94"/>
      <c r="B576" s="138"/>
      <c r="C576" s="120"/>
      <c r="D576" s="120"/>
      <c r="E576" s="120"/>
      <c r="F576" s="91"/>
      <c r="G576" s="88"/>
      <c r="H576" s="94"/>
      <c r="I576" s="91"/>
      <c r="J576" s="94"/>
      <c r="K576" s="94"/>
      <c r="L576" s="94"/>
      <c r="M576" s="147"/>
      <c r="N576" s="147"/>
      <c r="O576" s="147"/>
      <c r="P576" s="147"/>
      <c r="Q576" s="94"/>
      <c r="R576" s="91"/>
      <c r="S576" s="148"/>
      <c r="T576" s="91"/>
      <c r="U576" s="101"/>
      <c r="V576" s="101"/>
      <c r="W576" s="101"/>
    </row>
    <row r="577">
      <c r="A577" s="94"/>
      <c r="B577" s="138"/>
      <c r="C577" s="120"/>
      <c r="D577" s="120"/>
      <c r="E577" s="120"/>
      <c r="F577" s="91"/>
      <c r="G577" s="88"/>
      <c r="H577" s="94"/>
      <c r="I577" s="91"/>
      <c r="J577" s="94"/>
      <c r="K577" s="94"/>
      <c r="L577" s="94"/>
      <c r="M577" s="147"/>
      <c r="N577" s="147"/>
      <c r="O577" s="147"/>
      <c r="P577" s="147"/>
      <c r="Q577" s="94"/>
      <c r="R577" s="91"/>
      <c r="S577" s="148"/>
      <c r="T577" s="91"/>
      <c r="U577" s="101"/>
      <c r="V577" s="101"/>
      <c r="W577" s="101"/>
    </row>
    <row r="578">
      <c r="A578" s="94"/>
      <c r="B578" s="138"/>
      <c r="C578" s="120"/>
      <c r="D578" s="120"/>
      <c r="E578" s="120"/>
      <c r="F578" s="91"/>
      <c r="G578" s="88"/>
      <c r="H578" s="94"/>
      <c r="I578" s="91"/>
      <c r="J578" s="94"/>
      <c r="K578" s="94"/>
      <c r="L578" s="94"/>
      <c r="M578" s="147"/>
      <c r="N578" s="147"/>
      <c r="O578" s="147"/>
      <c r="P578" s="147"/>
      <c r="Q578" s="94"/>
      <c r="R578" s="91"/>
      <c r="S578" s="148"/>
      <c r="T578" s="91"/>
      <c r="U578" s="101"/>
      <c r="V578" s="101"/>
      <c r="W578" s="101"/>
    </row>
    <row r="579">
      <c r="A579" s="94"/>
      <c r="B579" s="138"/>
      <c r="C579" s="120"/>
      <c r="D579" s="120"/>
      <c r="E579" s="120"/>
      <c r="F579" s="91"/>
      <c r="G579" s="88"/>
      <c r="H579" s="94"/>
      <c r="I579" s="91"/>
      <c r="J579" s="94"/>
      <c r="K579" s="94"/>
      <c r="L579" s="94"/>
      <c r="M579" s="147"/>
      <c r="N579" s="147"/>
      <c r="O579" s="147"/>
      <c r="P579" s="147"/>
      <c r="Q579" s="94"/>
      <c r="R579" s="91"/>
      <c r="S579" s="148"/>
      <c r="T579" s="91"/>
      <c r="U579" s="101"/>
      <c r="V579" s="101"/>
      <c r="W579" s="101"/>
    </row>
    <row r="580">
      <c r="A580" s="94"/>
      <c r="B580" s="138"/>
      <c r="C580" s="120"/>
      <c r="D580" s="120"/>
      <c r="E580" s="120"/>
      <c r="F580" s="91"/>
      <c r="G580" s="88"/>
      <c r="H580" s="94"/>
      <c r="I580" s="91"/>
      <c r="J580" s="94"/>
      <c r="K580" s="94"/>
      <c r="L580" s="94"/>
      <c r="M580" s="147"/>
      <c r="N580" s="147"/>
      <c r="O580" s="147"/>
      <c r="P580" s="147"/>
      <c r="Q580" s="94"/>
      <c r="R580" s="91"/>
      <c r="S580" s="148"/>
      <c r="T580" s="91"/>
      <c r="U580" s="101"/>
      <c r="V580" s="101"/>
      <c r="W580" s="101"/>
    </row>
    <row r="581">
      <c r="A581" s="94"/>
      <c r="B581" s="138"/>
      <c r="C581" s="120"/>
      <c r="D581" s="120"/>
      <c r="E581" s="120"/>
      <c r="F581" s="91"/>
      <c r="G581" s="88"/>
      <c r="H581" s="94"/>
      <c r="I581" s="91"/>
      <c r="J581" s="94"/>
      <c r="K581" s="94"/>
      <c r="L581" s="94"/>
      <c r="M581" s="147"/>
      <c r="N581" s="147"/>
      <c r="O581" s="147"/>
      <c r="P581" s="147"/>
      <c r="Q581" s="94"/>
      <c r="R581" s="91"/>
      <c r="S581" s="148"/>
      <c r="T581" s="91"/>
      <c r="U581" s="101"/>
      <c r="V581" s="101"/>
      <c r="W581" s="101"/>
    </row>
    <row r="582">
      <c r="A582" s="94"/>
      <c r="B582" s="138"/>
      <c r="C582" s="120"/>
      <c r="D582" s="120"/>
      <c r="E582" s="120"/>
      <c r="F582" s="91"/>
      <c r="G582" s="88"/>
      <c r="H582" s="94"/>
      <c r="I582" s="91"/>
      <c r="J582" s="94"/>
      <c r="K582" s="94"/>
      <c r="L582" s="94"/>
      <c r="M582" s="147"/>
      <c r="N582" s="147"/>
      <c r="O582" s="147"/>
      <c r="P582" s="147"/>
      <c r="Q582" s="94"/>
      <c r="R582" s="91"/>
      <c r="S582" s="148"/>
      <c r="T582" s="91"/>
      <c r="U582" s="101"/>
      <c r="V582" s="101"/>
      <c r="W582" s="101"/>
    </row>
    <row r="583">
      <c r="A583" s="94"/>
      <c r="B583" s="138"/>
      <c r="C583" s="120"/>
      <c r="D583" s="120"/>
      <c r="E583" s="120"/>
      <c r="F583" s="91"/>
      <c r="G583" s="88"/>
      <c r="H583" s="94"/>
      <c r="I583" s="91"/>
      <c r="J583" s="94"/>
      <c r="K583" s="94"/>
      <c r="L583" s="94"/>
      <c r="M583" s="147"/>
      <c r="N583" s="147"/>
      <c r="O583" s="147"/>
      <c r="P583" s="147"/>
      <c r="Q583" s="94"/>
      <c r="R583" s="91"/>
      <c r="S583" s="148"/>
      <c r="T583" s="91"/>
      <c r="U583" s="101"/>
      <c r="V583" s="101"/>
      <c r="W583" s="101"/>
    </row>
    <row r="584">
      <c r="A584" s="94"/>
      <c r="B584" s="138"/>
      <c r="C584" s="120"/>
      <c r="D584" s="120"/>
      <c r="E584" s="120"/>
      <c r="F584" s="91"/>
      <c r="G584" s="88"/>
      <c r="H584" s="94"/>
      <c r="I584" s="91"/>
      <c r="J584" s="94"/>
      <c r="K584" s="94"/>
      <c r="L584" s="94"/>
      <c r="M584" s="147"/>
      <c r="N584" s="147"/>
      <c r="O584" s="147"/>
      <c r="P584" s="147"/>
      <c r="Q584" s="94"/>
      <c r="R584" s="91"/>
      <c r="S584" s="148"/>
      <c r="T584" s="91"/>
      <c r="U584" s="101"/>
      <c r="V584" s="101"/>
      <c r="W584" s="101"/>
    </row>
    <row r="585">
      <c r="A585" s="94"/>
      <c r="B585" s="138"/>
      <c r="C585" s="120"/>
      <c r="D585" s="120"/>
      <c r="E585" s="120"/>
      <c r="F585" s="91"/>
      <c r="G585" s="88"/>
      <c r="H585" s="94"/>
      <c r="I585" s="91"/>
      <c r="J585" s="94"/>
      <c r="K585" s="94"/>
      <c r="L585" s="94"/>
      <c r="M585" s="147"/>
      <c r="N585" s="147"/>
      <c r="O585" s="147"/>
      <c r="P585" s="147"/>
      <c r="Q585" s="94"/>
      <c r="R585" s="91"/>
      <c r="S585" s="148"/>
      <c r="T585" s="91"/>
      <c r="U585" s="101"/>
      <c r="V585" s="101"/>
      <c r="W585" s="101"/>
    </row>
    <row r="586">
      <c r="A586" s="94"/>
      <c r="B586" s="138"/>
      <c r="C586" s="120"/>
      <c r="D586" s="120"/>
      <c r="E586" s="120"/>
      <c r="F586" s="91"/>
      <c r="G586" s="88"/>
      <c r="H586" s="94"/>
      <c r="I586" s="91"/>
      <c r="J586" s="94"/>
      <c r="K586" s="94"/>
      <c r="L586" s="94"/>
      <c r="M586" s="147"/>
      <c r="N586" s="147"/>
      <c r="O586" s="147"/>
      <c r="P586" s="147"/>
      <c r="Q586" s="94"/>
      <c r="R586" s="91"/>
      <c r="S586" s="148"/>
      <c r="T586" s="91"/>
      <c r="U586" s="101"/>
      <c r="V586" s="101"/>
      <c r="W586" s="101"/>
    </row>
    <row r="587">
      <c r="A587" s="94"/>
      <c r="B587" s="138"/>
      <c r="C587" s="120"/>
      <c r="D587" s="120"/>
      <c r="E587" s="120"/>
      <c r="F587" s="91"/>
      <c r="G587" s="88"/>
      <c r="H587" s="94"/>
      <c r="I587" s="91"/>
      <c r="J587" s="94"/>
      <c r="K587" s="94"/>
      <c r="L587" s="94"/>
      <c r="M587" s="147"/>
      <c r="N587" s="147"/>
      <c r="O587" s="147"/>
      <c r="P587" s="147"/>
      <c r="Q587" s="94"/>
      <c r="R587" s="91"/>
      <c r="S587" s="148"/>
      <c r="T587" s="91"/>
      <c r="U587" s="101"/>
      <c r="V587" s="101"/>
      <c r="W587" s="101"/>
    </row>
    <row r="588">
      <c r="A588" s="94"/>
      <c r="B588" s="138"/>
      <c r="C588" s="120"/>
      <c r="D588" s="120"/>
      <c r="E588" s="120"/>
      <c r="F588" s="91"/>
      <c r="G588" s="88"/>
      <c r="H588" s="94"/>
      <c r="I588" s="91"/>
      <c r="J588" s="94"/>
      <c r="K588" s="94"/>
      <c r="L588" s="94"/>
      <c r="M588" s="147"/>
      <c r="N588" s="147"/>
      <c r="O588" s="147"/>
      <c r="P588" s="147"/>
      <c r="Q588" s="94"/>
      <c r="R588" s="91"/>
      <c r="S588" s="148"/>
      <c r="T588" s="91"/>
      <c r="U588" s="101"/>
      <c r="V588" s="101"/>
      <c r="W588" s="101"/>
    </row>
    <row r="589">
      <c r="A589" s="94"/>
      <c r="B589" s="138"/>
      <c r="C589" s="120"/>
      <c r="D589" s="120"/>
      <c r="E589" s="120"/>
      <c r="F589" s="91"/>
      <c r="G589" s="88"/>
      <c r="H589" s="94"/>
      <c r="I589" s="91"/>
      <c r="J589" s="94"/>
      <c r="K589" s="94"/>
      <c r="L589" s="94"/>
      <c r="M589" s="147"/>
      <c r="N589" s="147"/>
      <c r="O589" s="147"/>
      <c r="P589" s="147"/>
      <c r="Q589" s="94"/>
      <c r="R589" s="91"/>
      <c r="S589" s="148"/>
      <c r="T589" s="91"/>
      <c r="U589" s="101"/>
      <c r="V589" s="101"/>
      <c r="W589" s="101"/>
    </row>
    <row r="590">
      <c r="A590" s="94"/>
      <c r="B590" s="138"/>
      <c r="C590" s="120"/>
      <c r="D590" s="120"/>
      <c r="E590" s="120"/>
      <c r="F590" s="91"/>
      <c r="G590" s="88"/>
      <c r="H590" s="94"/>
      <c r="I590" s="91"/>
      <c r="J590" s="94"/>
      <c r="K590" s="94"/>
      <c r="L590" s="94"/>
      <c r="M590" s="147"/>
      <c r="N590" s="147"/>
      <c r="O590" s="147"/>
      <c r="P590" s="147"/>
      <c r="Q590" s="94"/>
      <c r="R590" s="91"/>
      <c r="S590" s="148"/>
      <c r="T590" s="91"/>
      <c r="U590" s="101"/>
      <c r="V590" s="101"/>
      <c r="W590" s="101"/>
    </row>
    <row r="591">
      <c r="A591" s="94"/>
      <c r="B591" s="138"/>
      <c r="C591" s="120"/>
      <c r="D591" s="120"/>
      <c r="E591" s="120"/>
      <c r="F591" s="91"/>
      <c r="G591" s="88"/>
      <c r="H591" s="94"/>
      <c r="I591" s="91"/>
      <c r="J591" s="94"/>
      <c r="K591" s="94"/>
      <c r="L591" s="94"/>
      <c r="M591" s="147"/>
      <c r="N591" s="147"/>
      <c r="O591" s="147"/>
      <c r="P591" s="147"/>
      <c r="Q591" s="94"/>
      <c r="R591" s="91"/>
      <c r="S591" s="148"/>
      <c r="T591" s="91"/>
      <c r="U591" s="101"/>
      <c r="V591" s="101"/>
      <c r="W591" s="101"/>
    </row>
    <row r="592">
      <c r="A592" s="94"/>
      <c r="B592" s="138"/>
      <c r="C592" s="120"/>
      <c r="D592" s="120"/>
      <c r="E592" s="120"/>
      <c r="F592" s="91"/>
      <c r="G592" s="88"/>
      <c r="H592" s="94"/>
      <c r="I592" s="91"/>
      <c r="J592" s="94"/>
      <c r="K592" s="94"/>
      <c r="L592" s="94"/>
      <c r="M592" s="147"/>
      <c r="N592" s="147"/>
      <c r="O592" s="147"/>
      <c r="P592" s="147"/>
      <c r="Q592" s="94"/>
      <c r="R592" s="91"/>
      <c r="S592" s="148"/>
      <c r="T592" s="91"/>
      <c r="U592" s="101"/>
      <c r="V592" s="101"/>
      <c r="W592" s="101"/>
    </row>
    <row r="593">
      <c r="A593" s="94"/>
      <c r="B593" s="138"/>
      <c r="C593" s="120"/>
      <c r="D593" s="120"/>
      <c r="E593" s="120"/>
      <c r="F593" s="91"/>
      <c r="G593" s="88"/>
      <c r="H593" s="94"/>
      <c r="I593" s="91"/>
      <c r="J593" s="94"/>
      <c r="K593" s="94"/>
      <c r="L593" s="94"/>
      <c r="M593" s="147"/>
      <c r="N593" s="147"/>
      <c r="O593" s="147"/>
      <c r="P593" s="147"/>
      <c r="Q593" s="94"/>
      <c r="R593" s="91"/>
      <c r="S593" s="148"/>
      <c r="T593" s="91"/>
      <c r="U593" s="101"/>
      <c r="V593" s="101"/>
      <c r="W593" s="101"/>
    </row>
    <row r="594">
      <c r="A594" s="94"/>
      <c r="B594" s="138"/>
      <c r="C594" s="120"/>
      <c r="D594" s="120"/>
      <c r="E594" s="120"/>
      <c r="F594" s="91"/>
      <c r="G594" s="88"/>
      <c r="H594" s="94"/>
      <c r="I594" s="91"/>
      <c r="J594" s="94"/>
      <c r="K594" s="94"/>
      <c r="L594" s="94"/>
      <c r="M594" s="147"/>
      <c r="N594" s="147"/>
      <c r="O594" s="147"/>
      <c r="P594" s="147"/>
      <c r="Q594" s="94"/>
      <c r="R594" s="91"/>
      <c r="S594" s="148"/>
      <c r="T594" s="91"/>
      <c r="U594" s="101"/>
      <c r="V594" s="101"/>
      <c r="W594" s="101"/>
    </row>
    <row r="595">
      <c r="A595" s="94"/>
      <c r="B595" s="138"/>
      <c r="C595" s="120"/>
      <c r="D595" s="120"/>
      <c r="E595" s="120"/>
      <c r="F595" s="91"/>
      <c r="G595" s="88"/>
      <c r="H595" s="94"/>
      <c r="I595" s="91"/>
      <c r="J595" s="94"/>
      <c r="K595" s="94"/>
      <c r="L595" s="94"/>
      <c r="M595" s="147"/>
      <c r="N595" s="147"/>
      <c r="O595" s="147"/>
      <c r="P595" s="147"/>
      <c r="Q595" s="94"/>
      <c r="R595" s="91"/>
      <c r="S595" s="148"/>
      <c r="T595" s="91"/>
      <c r="U595" s="101"/>
      <c r="V595" s="101"/>
      <c r="W595" s="101"/>
    </row>
    <row r="596">
      <c r="A596" s="94"/>
      <c r="B596" s="138"/>
      <c r="C596" s="120"/>
      <c r="D596" s="120"/>
      <c r="E596" s="120"/>
      <c r="F596" s="91"/>
      <c r="G596" s="88"/>
      <c r="H596" s="94"/>
      <c r="I596" s="91"/>
      <c r="J596" s="94"/>
      <c r="K596" s="94"/>
      <c r="L596" s="94"/>
      <c r="M596" s="147"/>
      <c r="N596" s="147"/>
      <c r="O596" s="147"/>
      <c r="P596" s="147"/>
      <c r="Q596" s="94"/>
      <c r="R596" s="91"/>
      <c r="S596" s="148"/>
      <c r="T596" s="91"/>
      <c r="U596" s="101"/>
      <c r="V596" s="101"/>
      <c r="W596" s="101"/>
    </row>
    <row r="597">
      <c r="A597" s="94"/>
      <c r="B597" s="138"/>
      <c r="C597" s="120"/>
      <c r="D597" s="120"/>
      <c r="E597" s="120"/>
      <c r="F597" s="91"/>
      <c r="G597" s="88"/>
      <c r="H597" s="94"/>
      <c r="I597" s="91"/>
      <c r="J597" s="94"/>
      <c r="K597" s="94"/>
      <c r="L597" s="94"/>
      <c r="M597" s="147"/>
      <c r="N597" s="147"/>
      <c r="O597" s="147"/>
      <c r="P597" s="147"/>
      <c r="Q597" s="94"/>
      <c r="R597" s="91"/>
      <c r="S597" s="148"/>
      <c r="T597" s="91"/>
      <c r="U597" s="101"/>
      <c r="V597" s="101"/>
      <c r="W597" s="101"/>
    </row>
    <row r="598">
      <c r="A598" s="94"/>
      <c r="B598" s="138"/>
      <c r="C598" s="120"/>
      <c r="D598" s="120"/>
      <c r="E598" s="120"/>
      <c r="F598" s="91"/>
      <c r="G598" s="88"/>
      <c r="H598" s="94"/>
      <c r="I598" s="91"/>
      <c r="J598" s="94"/>
      <c r="K598" s="94"/>
      <c r="L598" s="94"/>
      <c r="M598" s="147"/>
      <c r="N598" s="147"/>
      <c r="O598" s="147"/>
      <c r="P598" s="147"/>
      <c r="Q598" s="94"/>
      <c r="R598" s="91"/>
      <c r="S598" s="148"/>
      <c r="T598" s="91"/>
      <c r="U598" s="101"/>
      <c r="V598" s="101"/>
      <c r="W598" s="101"/>
    </row>
    <row r="599">
      <c r="A599" s="94"/>
      <c r="B599" s="138"/>
      <c r="C599" s="120"/>
      <c r="D599" s="120"/>
      <c r="E599" s="120"/>
      <c r="F599" s="91"/>
      <c r="G599" s="88"/>
      <c r="H599" s="94"/>
      <c r="I599" s="91"/>
      <c r="J599" s="94"/>
      <c r="K599" s="94"/>
      <c r="L599" s="94"/>
      <c r="M599" s="147"/>
      <c r="N599" s="147"/>
      <c r="O599" s="147"/>
      <c r="P599" s="147"/>
      <c r="Q599" s="94"/>
      <c r="R599" s="91"/>
      <c r="S599" s="148"/>
      <c r="T599" s="91"/>
      <c r="U599" s="101"/>
      <c r="V599" s="101"/>
      <c r="W599" s="101"/>
    </row>
    <row r="600">
      <c r="A600" s="94"/>
      <c r="B600" s="138"/>
      <c r="C600" s="120"/>
      <c r="D600" s="120"/>
      <c r="E600" s="120"/>
      <c r="F600" s="91"/>
      <c r="G600" s="88"/>
      <c r="H600" s="94"/>
      <c r="I600" s="91"/>
      <c r="J600" s="94"/>
      <c r="K600" s="94"/>
      <c r="L600" s="94"/>
      <c r="M600" s="147"/>
      <c r="N600" s="147"/>
      <c r="O600" s="147"/>
      <c r="P600" s="147"/>
      <c r="Q600" s="94"/>
      <c r="R600" s="91"/>
      <c r="S600" s="148"/>
      <c r="T600" s="91"/>
      <c r="U600" s="101"/>
      <c r="V600" s="101"/>
      <c r="W600" s="101"/>
    </row>
    <row r="601">
      <c r="A601" s="94"/>
      <c r="B601" s="138"/>
      <c r="C601" s="120"/>
      <c r="D601" s="120"/>
      <c r="E601" s="120"/>
      <c r="F601" s="91"/>
      <c r="G601" s="88"/>
      <c r="H601" s="94"/>
      <c r="I601" s="91"/>
      <c r="J601" s="94"/>
      <c r="K601" s="94"/>
      <c r="L601" s="94"/>
      <c r="M601" s="147"/>
      <c r="N601" s="147"/>
      <c r="O601" s="147"/>
      <c r="P601" s="147"/>
      <c r="Q601" s="94"/>
      <c r="R601" s="91"/>
      <c r="S601" s="148"/>
      <c r="T601" s="91"/>
      <c r="U601" s="101"/>
      <c r="V601" s="101"/>
      <c r="W601" s="101"/>
    </row>
    <row r="602">
      <c r="A602" s="94"/>
      <c r="B602" s="138"/>
      <c r="C602" s="120"/>
      <c r="D602" s="120"/>
      <c r="E602" s="120"/>
      <c r="F602" s="91"/>
      <c r="G602" s="88"/>
      <c r="H602" s="94"/>
      <c r="I602" s="91"/>
      <c r="J602" s="94"/>
      <c r="K602" s="94"/>
      <c r="L602" s="94"/>
      <c r="M602" s="147"/>
      <c r="N602" s="147"/>
      <c r="O602" s="147"/>
      <c r="P602" s="147"/>
      <c r="Q602" s="94"/>
      <c r="R602" s="91"/>
      <c r="S602" s="148"/>
      <c r="T602" s="91"/>
      <c r="U602" s="101"/>
      <c r="V602" s="101"/>
      <c r="W602" s="101"/>
    </row>
    <row r="603">
      <c r="A603" s="94"/>
      <c r="B603" s="138"/>
      <c r="C603" s="120"/>
      <c r="D603" s="120"/>
      <c r="E603" s="120"/>
      <c r="F603" s="91"/>
      <c r="G603" s="88"/>
      <c r="H603" s="94"/>
      <c r="I603" s="91"/>
      <c r="J603" s="94"/>
      <c r="K603" s="94"/>
      <c r="L603" s="94"/>
      <c r="M603" s="147"/>
      <c r="N603" s="147"/>
      <c r="O603" s="147"/>
      <c r="P603" s="147"/>
      <c r="Q603" s="94"/>
      <c r="R603" s="91"/>
      <c r="S603" s="148"/>
      <c r="T603" s="91"/>
      <c r="U603" s="101"/>
      <c r="V603" s="101"/>
      <c r="W603" s="101"/>
    </row>
    <row r="604">
      <c r="A604" s="94"/>
      <c r="B604" s="138"/>
      <c r="C604" s="120"/>
      <c r="D604" s="120"/>
      <c r="E604" s="120"/>
      <c r="F604" s="91"/>
      <c r="G604" s="88"/>
      <c r="H604" s="94"/>
      <c r="I604" s="91"/>
      <c r="J604" s="94"/>
      <c r="K604" s="94"/>
      <c r="L604" s="94"/>
      <c r="M604" s="147"/>
      <c r="N604" s="147"/>
      <c r="O604" s="147"/>
      <c r="P604" s="147"/>
      <c r="Q604" s="94"/>
      <c r="R604" s="91"/>
      <c r="S604" s="148"/>
      <c r="T604" s="91"/>
      <c r="U604" s="101"/>
      <c r="V604" s="101"/>
      <c r="W604" s="101"/>
    </row>
    <row r="605">
      <c r="A605" s="94"/>
      <c r="B605" s="138"/>
      <c r="C605" s="120"/>
      <c r="D605" s="120"/>
      <c r="E605" s="120"/>
      <c r="F605" s="91"/>
      <c r="G605" s="88"/>
      <c r="H605" s="94"/>
      <c r="I605" s="91"/>
      <c r="J605" s="94"/>
      <c r="K605" s="94"/>
      <c r="L605" s="94"/>
      <c r="M605" s="147"/>
      <c r="N605" s="147"/>
      <c r="O605" s="147"/>
      <c r="P605" s="147"/>
      <c r="Q605" s="94"/>
      <c r="R605" s="91"/>
      <c r="S605" s="148"/>
      <c r="T605" s="91"/>
      <c r="U605" s="101"/>
      <c r="V605" s="101"/>
      <c r="W605" s="101"/>
    </row>
    <row r="606">
      <c r="A606" s="94"/>
      <c r="B606" s="138"/>
      <c r="C606" s="120"/>
      <c r="D606" s="120"/>
      <c r="E606" s="120"/>
      <c r="F606" s="91"/>
      <c r="G606" s="88"/>
      <c r="H606" s="94"/>
      <c r="I606" s="91"/>
      <c r="J606" s="94"/>
      <c r="K606" s="94"/>
      <c r="L606" s="94"/>
      <c r="M606" s="147"/>
      <c r="N606" s="147"/>
      <c r="O606" s="147"/>
      <c r="P606" s="147"/>
      <c r="Q606" s="94"/>
      <c r="R606" s="91"/>
      <c r="S606" s="148"/>
      <c r="T606" s="91"/>
      <c r="U606" s="101"/>
      <c r="V606" s="101"/>
      <c r="W606" s="101"/>
    </row>
    <row r="607">
      <c r="A607" s="94"/>
      <c r="B607" s="138"/>
      <c r="C607" s="120"/>
      <c r="D607" s="120"/>
      <c r="E607" s="120"/>
      <c r="F607" s="91"/>
      <c r="G607" s="88"/>
      <c r="H607" s="94"/>
      <c r="I607" s="91"/>
      <c r="J607" s="94"/>
      <c r="K607" s="94"/>
      <c r="L607" s="94"/>
      <c r="M607" s="147"/>
      <c r="N607" s="147"/>
      <c r="O607" s="147"/>
      <c r="P607" s="147"/>
      <c r="Q607" s="94"/>
      <c r="R607" s="91"/>
      <c r="S607" s="148"/>
      <c r="T607" s="91"/>
      <c r="U607" s="101"/>
      <c r="V607" s="101"/>
      <c r="W607" s="101"/>
    </row>
    <row r="608">
      <c r="A608" s="94"/>
      <c r="B608" s="138"/>
      <c r="C608" s="120"/>
      <c r="D608" s="120"/>
      <c r="E608" s="120"/>
      <c r="F608" s="91"/>
      <c r="G608" s="88"/>
      <c r="H608" s="94"/>
      <c r="I608" s="91"/>
      <c r="J608" s="94"/>
      <c r="K608" s="94"/>
      <c r="L608" s="94"/>
      <c r="M608" s="147"/>
      <c r="N608" s="147"/>
      <c r="O608" s="147"/>
      <c r="P608" s="147"/>
      <c r="Q608" s="94"/>
      <c r="R608" s="91"/>
      <c r="S608" s="148"/>
      <c r="T608" s="91"/>
      <c r="U608" s="101"/>
      <c r="V608" s="101"/>
      <c r="W608" s="101"/>
    </row>
    <row r="609">
      <c r="A609" s="94"/>
      <c r="B609" s="138"/>
      <c r="C609" s="120"/>
      <c r="D609" s="120"/>
      <c r="E609" s="120"/>
      <c r="F609" s="91"/>
      <c r="G609" s="88"/>
      <c r="H609" s="94"/>
      <c r="I609" s="91"/>
      <c r="J609" s="94"/>
      <c r="K609" s="94"/>
      <c r="L609" s="94"/>
      <c r="M609" s="147"/>
      <c r="N609" s="147"/>
      <c r="O609" s="147"/>
      <c r="P609" s="147"/>
      <c r="Q609" s="94"/>
      <c r="R609" s="91"/>
      <c r="S609" s="148"/>
      <c r="T609" s="91"/>
      <c r="U609" s="101"/>
      <c r="V609" s="101"/>
      <c r="W609" s="101"/>
    </row>
    <row r="610">
      <c r="A610" s="94"/>
      <c r="B610" s="138"/>
      <c r="C610" s="120"/>
      <c r="D610" s="120"/>
      <c r="E610" s="120"/>
      <c r="F610" s="91"/>
      <c r="G610" s="88"/>
      <c r="H610" s="94"/>
      <c r="I610" s="91"/>
      <c r="J610" s="94"/>
      <c r="K610" s="94"/>
      <c r="L610" s="94"/>
      <c r="M610" s="147"/>
      <c r="N610" s="147"/>
      <c r="O610" s="147"/>
      <c r="P610" s="147"/>
      <c r="Q610" s="94"/>
      <c r="R610" s="91"/>
      <c r="S610" s="148"/>
      <c r="T610" s="91"/>
      <c r="U610" s="101"/>
      <c r="V610" s="101"/>
      <c r="W610" s="101"/>
    </row>
    <row r="611">
      <c r="A611" s="94"/>
      <c r="B611" s="138"/>
      <c r="C611" s="120"/>
      <c r="D611" s="120"/>
      <c r="E611" s="120"/>
      <c r="F611" s="91"/>
      <c r="G611" s="88"/>
      <c r="H611" s="94"/>
      <c r="I611" s="91"/>
      <c r="J611" s="94"/>
      <c r="K611" s="94"/>
      <c r="L611" s="94"/>
      <c r="M611" s="147"/>
      <c r="N611" s="147"/>
      <c r="O611" s="147"/>
      <c r="P611" s="147"/>
      <c r="Q611" s="94"/>
      <c r="R611" s="91"/>
      <c r="S611" s="148"/>
      <c r="T611" s="91"/>
      <c r="U611" s="101"/>
      <c r="V611" s="101"/>
      <c r="W611" s="101"/>
    </row>
    <row r="612">
      <c r="A612" s="94"/>
      <c r="B612" s="138"/>
      <c r="C612" s="120"/>
      <c r="D612" s="120"/>
      <c r="E612" s="120"/>
      <c r="F612" s="91"/>
      <c r="G612" s="88"/>
      <c r="H612" s="94"/>
      <c r="I612" s="91"/>
      <c r="J612" s="94"/>
      <c r="K612" s="94"/>
      <c r="L612" s="94"/>
      <c r="M612" s="147"/>
      <c r="N612" s="147"/>
      <c r="O612" s="147"/>
      <c r="P612" s="147"/>
      <c r="Q612" s="94"/>
      <c r="R612" s="91"/>
      <c r="S612" s="148"/>
      <c r="T612" s="91"/>
      <c r="U612" s="101"/>
      <c r="V612" s="101"/>
      <c r="W612" s="101"/>
    </row>
    <row r="613">
      <c r="A613" s="94"/>
      <c r="B613" s="138"/>
      <c r="C613" s="120"/>
      <c r="D613" s="120"/>
      <c r="E613" s="120"/>
      <c r="F613" s="91"/>
      <c r="G613" s="88"/>
      <c r="H613" s="94"/>
      <c r="I613" s="91"/>
      <c r="J613" s="94"/>
      <c r="K613" s="94"/>
      <c r="L613" s="94"/>
      <c r="M613" s="147"/>
      <c r="N613" s="147"/>
      <c r="O613" s="147"/>
      <c r="P613" s="147"/>
      <c r="Q613" s="94"/>
      <c r="R613" s="91"/>
      <c r="S613" s="148"/>
      <c r="T613" s="91"/>
      <c r="U613" s="101"/>
      <c r="V613" s="101"/>
      <c r="W613" s="101"/>
    </row>
    <row r="614">
      <c r="A614" s="94"/>
      <c r="B614" s="138"/>
      <c r="C614" s="120"/>
      <c r="D614" s="120"/>
      <c r="E614" s="120"/>
      <c r="F614" s="91"/>
      <c r="G614" s="88"/>
      <c r="H614" s="94"/>
      <c r="I614" s="91"/>
      <c r="J614" s="94"/>
      <c r="K614" s="94"/>
      <c r="L614" s="94"/>
      <c r="M614" s="147"/>
      <c r="N614" s="147"/>
      <c r="O614" s="147"/>
      <c r="P614" s="147"/>
      <c r="Q614" s="94"/>
      <c r="R614" s="91"/>
      <c r="S614" s="148"/>
      <c r="T614" s="91"/>
      <c r="U614" s="101"/>
      <c r="V614" s="101"/>
      <c r="W614" s="101"/>
    </row>
    <row r="615">
      <c r="A615" s="94"/>
      <c r="B615" s="138"/>
      <c r="C615" s="120"/>
      <c r="D615" s="120"/>
      <c r="E615" s="120"/>
      <c r="F615" s="91"/>
      <c r="G615" s="88"/>
      <c r="H615" s="94"/>
      <c r="I615" s="91"/>
      <c r="J615" s="94"/>
      <c r="K615" s="94"/>
      <c r="L615" s="94"/>
      <c r="M615" s="147"/>
      <c r="N615" s="147"/>
      <c r="O615" s="147"/>
      <c r="P615" s="147"/>
      <c r="Q615" s="94"/>
      <c r="R615" s="91"/>
      <c r="S615" s="148"/>
      <c r="T615" s="91"/>
      <c r="U615" s="101"/>
      <c r="V615" s="101"/>
      <c r="W615" s="101"/>
    </row>
    <row r="616">
      <c r="A616" s="94"/>
      <c r="B616" s="138"/>
      <c r="C616" s="120"/>
      <c r="D616" s="120"/>
      <c r="E616" s="120"/>
      <c r="F616" s="91"/>
      <c r="G616" s="88"/>
      <c r="H616" s="94"/>
      <c r="I616" s="91"/>
      <c r="J616" s="94"/>
      <c r="K616" s="94"/>
      <c r="L616" s="94"/>
      <c r="M616" s="147"/>
      <c r="N616" s="147"/>
      <c r="O616" s="147"/>
      <c r="P616" s="147"/>
      <c r="Q616" s="94"/>
      <c r="R616" s="91"/>
      <c r="S616" s="148"/>
      <c r="T616" s="91"/>
      <c r="U616" s="101"/>
      <c r="V616" s="101"/>
      <c r="W616" s="101"/>
    </row>
    <row r="617">
      <c r="A617" s="94"/>
      <c r="B617" s="138"/>
      <c r="C617" s="120"/>
      <c r="D617" s="120"/>
      <c r="E617" s="120"/>
      <c r="F617" s="91"/>
      <c r="G617" s="88"/>
      <c r="H617" s="94"/>
      <c r="I617" s="91"/>
      <c r="J617" s="94"/>
      <c r="K617" s="94"/>
      <c r="L617" s="94"/>
      <c r="M617" s="147"/>
      <c r="N617" s="147"/>
      <c r="O617" s="147"/>
      <c r="P617" s="147"/>
      <c r="Q617" s="94"/>
      <c r="R617" s="91"/>
      <c r="S617" s="148"/>
      <c r="T617" s="91"/>
      <c r="U617" s="101"/>
      <c r="V617" s="101"/>
      <c r="W617" s="101"/>
    </row>
    <row r="618">
      <c r="A618" s="94"/>
      <c r="B618" s="138"/>
      <c r="C618" s="120"/>
      <c r="D618" s="120"/>
      <c r="E618" s="120"/>
      <c r="F618" s="91"/>
      <c r="G618" s="88"/>
      <c r="H618" s="94"/>
      <c r="I618" s="91"/>
      <c r="J618" s="94"/>
      <c r="K618" s="94"/>
      <c r="L618" s="94"/>
      <c r="M618" s="147"/>
      <c r="N618" s="147"/>
      <c r="O618" s="147"/>
      <c r="P618" s="147"/>
      <c r="Q618" s="94"/>
      <c r="R618" s="91"/>
      <c r="S618" s="148"/>
      <c r="T618" s="91"/>
      <c r="U618" s="101"/>
      <c r="V618" s="101"/>
      <c r="W618" s="101"/>
    </row>
    <row r="619">
      <c r="A619" s="94"/>
      <c r="B619" s="138"/>
      <c r="C619" s="120"/>
      <c r="D619" s="120"/>
      <c r="E619" s="120"/>
      <c r="F619" s="91"/>
      <c r="G619" s="88"/>
      <c r="H619" s="94"/>
      <c r="I619" s="91"/>
      <c r="J619" s="94"/>
      <c r="K619" s="94"/>
      <c r="L619" s="94"/>
      <c r="M619" s="147"/>
      <c r="N619" s="147"/>
      <c r="O619" s="147"/>
      <c r="P619" s="147"/>
      <c r="Q619" s="94"/>
      <c r="R619" s="91"/>
      <c r="S619" s="148"/>
      <c r="T619" s="91"/>
      <c r="U619" s="101"/>
      <c r="V619" s="101"/>
      <c r="W619" s="101"/>
    </row>
    <row r="620">
      <c r="A620" s="94"/>
      <c r="B620" s="138"/>
      <c r="C620" s="120"/>
      <c r="D620" s="120"/>
      <c r="E620" s="120"/>
      <c r="F620" s="91"/>
      <c r="G620" s="88"/>
      <c r="H620" s="94"/>
      <c r="I620" s="91"/>
      <c r="J620" s="94"/>
      <c r="K620" s="94"/>
      <c r="L620" s="94"/>
      <c r="M620" s="147"/>
      <c r="N620" s="147"/>
      <c r="O620" s="147"/>
      <c r="P620" s="147"/>
      <c r="Q620" s="94"/>
      <c r="R620" s="91"/>
      <c r="S620" s="148"/>
      <c r="T620" s="91"/>
      <c r="U620" s="101"/>
      <c r="V620" s="101"/>
      <c r="W620" s="101"/>
    </row>
    <row r="621">
      <c r="A621" s="94"/>
      <c r="B621" s="138"/>
      <c r="C621" s="120"/>
      <c r="D621" s="120"/>
      <c r="E621" s="120"/>
      <c r="F621" s="91"/>
      <c r="G621" s="88"/>
      <c r="H621" s="94"/>
      <c r="I621" s="91"/>
      <c r="J621" s="94"/>
      <c r="K621" s="94"/>
      <c r="L621" s="94"/>
      <c r="M621" s="147"/>
      <c r="N621" s="147"/>
      <c r="O621" s="147"/>
      <c r="P621" s="147"/>
      <c r="Q621" s="94"/>
      <c r="R621" s="91"/>
      <c r="S621" s="148"/>
      <c r="T621" s="91"/>
      <c r="U621" s="101"/>
      <c r="V621" s="101"/>
      <c r="W621" s="101"/>
    </row>
    <row r="622">
      <c r="A622" s="94"/>
      <c r="B622" s="138"/>
      <c r="C622" s="120"/>
      <c r="D622" s="120"/>
      <c r="E622" s="120"/>
      <c r="F622" s="91"/>
      <c r="G622" s="88"/>
      <c r="H622" s="94"/>
      <c r="I622" s="91"/>
      <c r="J622" s="94"/>
      <c r="K622" s="94"/>
      <c r="L622" s="94"/>
      <c r="M622" s="147"/>
      <c r="N622" s="147"/>
      <c r="O622" s="147"/>
      <c r="P622" s="147"/>
      <c r="Q622" s="94"/>
      <c r="R622" s="91"/>
      <c r="S622" s="148"/>
      <c r="T622" s="91"/>
      <c r="U622" s="101"/>
      <c r="V622" s="101"/>
      <c r="W622" s="101"/>
    </row>
    <row r="623">
      <c r="A623" s="94"/>
      <c r="B623" s="138"/>
      <c r="C623" s="120"/>
      <c r="D623" s="120"/>
      <c r="E623" s="120"/>
      <c r="F623" s="91"/>
      <c r="G623" s="88"/>
      <c r="H623" s="94"/>
      <c r="I623" s="91"/>
      <c r="J623" s="94"/>
      <c r="K623" s="94"/>
      <c r="L623" s="94"/>
      <c r="M623" s="147"/>
      <c r="N623" s="147"/>
      <c r="O623" s="147"/>
      <c r="P623" s="147"/>
      <c r="Q623" s="94"/>
      <c r="R623" s="91"/>
      <c r="S623" s="148"/>
      <c r="T623" s="91"/>
      <c r="U623" s="101"/>
      <c r="V623" s="101"/>
      <c r="W623" s="101"/>
    </row>
    <row r="624">
      <c r="A624" s="94"/>
      <c r="B624" s="138"/>
      <c r="C624" s="120"/>
      <c r="D624" s="120"/>
      <c r="E624" s="120"/>
      <c r="F624" s="91"/>
      <c r="G624" s="88"/>
      <c r="H624" s="94"/>
      <c r="I624" s="91"/>
      <c r="J624" s="94"/>
      <c r="K624" s="94"/>
      <c r="L624" s="94"/>
      <c r="M624" s="147"/>
      <c r="N624" s="147"/>
      <c r="O624" s="147"/>
      <c r="P624" s="147"/>
      <c r="Q624" s="94"/>
      <c r="R624" s="91"/>
      <c r="S624" s="148"/>
      <c r="T624" s="91"/>
      <c r="U624" s="101"/>
      <c r="V624" s="101"/>
      <c r="W624" s="101"/>
    </row>
    <row r="625">
      <c r="A625" s="94"/>
      <c r="B625" s="138"/>
      <c r="C625" s="120"/>
      <c r="D625" s="120"/>
      <c r="E625" s="120"/>
      <c r="F625" s="91"/>
      <c r="G625" s="88"/>
      <c r="H625" s="94"/>
      <c r="I625" s="91"/>
      <c r="J625" s="94"/>
      <c r="K625" s="94"/>
      <c r="L625" s="94"/>
      <c r="M625" s="147"/>
      <c r="N625" s="147"/>
      <c r="O625" s="147"/>
      <c r="P625" s="147"/>
      <c r="Q625" s="94"/>
      <c r="R625" s="91"/>
      <c r="S625" s="148"/>
      <c r="T625" s="91"/>
      <c r="U625" s="101"/>
      <c r="V625" s="101"/>
      <c r="W625" s="101"/>
    </row>
    <row r="626">
      <c r="A626" s="94"/>
      <c r="B626" s="138"/>
      <c r="C626" s="120"/>
      <c r="D626" s="120"/>
      <c r="E626" s="120"/>
      <c r="F626" s="91"/>
      <c r="G626" s="88"/>
      <c r="H626" s="94"/>
      <c r="I626" s="91"/>
      <c r="J626" s="94"/>
      <c r="K626" s="94"/>
      <c r="L626" s="94"/>
      <c r="M626" s="147"/>
      <c r="N626" s="147"/>
      <c r="O626" s="147"/>
      <c r="P626" s="147"/>
      <c r="Q626" s="94"/>
      <c r="R626" s="91"/>
      <c r="S626" s="148"/>
      <c r="T626" s="91"/>
      <c r="U626" s="101"/>
      <c r="V626" s="101"/>
      <c r="W626" s="101"/>
    </row>
    <row r="627">
      <c r="A627" s="94"/>
      <c r="B627" s="138"/>
      <c r="C627" s="120"/>
      <c r="D627" s="120"/>
      <c r="E627" s="120"/>
      <c r="F627" s="91"/>
      <c r="G627" s="88"/>
      <c r="H627" s="94"/>
      <c r="I627" s="91"/>
      <c r="J627" s="94"/>
      <c r="K627" s="94"/>
      <c r="L627" s="94"/>
      <c r="M627" s="147"/>
      <c r="N627" s="147"/>
      <c r="O627" s="147"/>
      <c r="P627" s="147"/>
      <c r="Q627" s="94"/>
      <c r="R627" s="91"/>
      <c r="S627" s="148"/>
      <c r="T627" s="91"/>
      <c r="U627" s="101"/>
      <c r="V627" s="101"/>
      <c r="W627" s="101"/>
    </row>
    <row r="628">
      <c r="A628" s="94"/>
      <c r="B628" s="138"/>
      <c r="C628" s="120"/>
      <c r="D628" s="120"/>
      <c r="E628" s="120"/>
      <c r="F628" s="91"/>
      <c r="G628" s="88"/>
      <c r="H628" s="94"/>
      <c r="I628" s="91"/>
      <c r="J628" s="94"/>
      <c r="K628" s="94"/>
      <c r="L628" s="94"/>
      <c r="M628" s="147"/>
      <c r="N628" s="147"/>
      <c r="O628" s="147"/>
      <c r="P628" s="147"/>
      <c r="Q628" s="94"/>
      <c r="R628" s="91"/>
      <c r="S628" s="148"/>
      <c r="T628" s="91"/>
      <c r="U628" s="101"/>
      <c r="V628" s="101"/>
      <c r="W628" s="101"/>
    </row>
    <row r="629">
      <c r="A629" s="94"/>
      <c r="B629" s="138"/>
      <c r="C629" s="120"/>
      <c r="D629" s="120"/>
      <c r="E629" s="120"/>
      <c r="F629" s="91"/>
      <c r="G629" s="88"/>
      <c r="H629" s="94"/>
      <c r="I629" s="91"/>
      <c r="J629" s="94"/>
      <c r="K629" s="94"/>
      <c r="L629" s="94"/>
      <c r="M629" s="147"/>
      <c r="N629" s="147"/>
      <c r="O629" s="147"/>
      <c r="P629" s="147"/>
      <c r="Q629" s="94"/>
      <c r="R629" s="91"/>
      <c r="S629" s="148"/>
      <c r="T629" s="91"/>
      <c r="U629" s="101"/>
      <c r="V629" s="101"/>
      <c r="W629" s="101"/>
    </row>
    <row r="630">
      <c r="A630" s="94"/>
      <c r="B630" s="138"/>
      <c r="C630" s="120"/>
      <c r="D630" s="120"/>
      <c r="E630" s="120"/>
      <c r="F630" s="91"/>
      <c r="G630" s="88"/>
      <c r="H630" s="94"/>
      <c r="I630" s="91"/>
      <c r="J630" s="94"/>
      <c r="K630" s="94"/>
      <c r="L630" s="94"/>
      <c r="M630" s="147"/>
      <c r="N630" s="147"/>
      <c r="O630" s="147"/>
      <c r="P630" s="147"/>
      <c r="Q630" s="94"/>
      <c r="R630" s="91"/>
      <c r="S630" s="148"/>
      <c r="T630" s="91"/>
      <c r="U630" s="101"/>
      <c r="V630" s="101"/>
      <c r="W630" s="101"/>
    </row>
    <row r="631">
      <c r="A631" s="94"/>
      <c r="B631" s="138"/>
      <c r="C631" s="120"/>
      <c r="D631" s="120"/>
      <c r="E631" s="120"/>
      <c r="F631" s="91"/>
      <c r="G631" s="88"/>
      <c r="H631" s="94"/>
      <c r="I631" s="91"/>
      <c r="J631" s="94"/>
      <c r="K631" s="94"/>
      <c r="L631" s="94"/>
      <c r="M631" s="147"/>
      <c r="N631" s="147"/>
      <c r="O631" s="147"/>
      <c r="P631" s="147"/>
      <c r="Q631" s="94"/>
      <c r="R631" s="91"/>
      <c r="S631" s="148"/>
      <c r="T631" s="91"/>
      <c r="U631" s="101"/>
      <c r="V631" s="101"/>
      <c r="W631" s="101"/>
    </row>
    <row r="632">
      <c r="A632" s="94"/>
      <c r="B632" s="138"/>
      <c r="C632" s="120"/>
      <c r="D632" s="120"/>
      <c r="E632" s="120"/>
      <c r="F632" s="91"/>
      <c r="G632" s="88"/>
      <c r="H632" s="94"/>
      <c r="I632" s="91"/>
      <c r="J632" s="94"/>
      <c r="K632" s="94"/>
      <c r="L632" s="94"/>
      <c r="M632" s="147"/>
      <c r="N632" s="147"/>
      <c r="O632" s="147"/>
      <c r="P632" s="147"/>
      <c r="Q632" s="94"/>
      <c r="R632" s="91"/>
      <c r="S632" s="148"/>
      <c r="T632" s="91"/>
      <c r="U632" s="101"/>
      <c r="V632" s="101"/>
      <c r="W632" s="101"/>
    </row>
    <row r="633">
      <c r="A633" s="94"/>
      <c r="B633" s="138"/>
      <c r="C633" s="120"/>
      <c r="D633" s="120"/>
      <c r="E633" s="120"/>
      <c r="F633" s="91"/>
      <c r="G633" s="88"/>
      <c r="H633" s="94"/>
      <c r="I633" s="91"/>
      <c r="J633" s="94"/>
      <c r="K633" s="94"/>
      <c r="L633" s="94"/>
      <c r="M633" s="147"/>
      <c r="N633" s="147"/>
      <c r="O633" s="147"/>
      <c r="P633" s="147"/>
      <c r="Q633" s="94"/>
      <c r="R633" s="91"/>
      <c r="S633" s="148"/>
      <c r="T633" s="91"/>
      <c r="U633" s="101"/>
      <c r="V633" s="101"/>
      <c r="W633" s="101"/>
    </row>
    <row r="634">
      <c r="A634" s="94"/>
      <c r="B634" s="138"/>
      <c r="C634" s="120"/>
      <c r="D634" s="120"/>
      <c r="E634" s="120"/>
      <c r="F634" s="91"/>
      <c r="G634" s="88"/>
      <c r="H634" s="94"/>
      <c r="I634" s="91"/>
      <c r="J634" s="94"/>
      <c r="K634" s="94"/>
      <c r="L634" s="94"/>
      <c r="M634" s="147"/>
      <c r="N634" s="147"/>
      <c r="O634" s="147"/>
      <c r="P634" s="147"/>
      <c r="Q634" s="94"/>
      <c r="R634" s="91"/>
      <c r="S634" s="148"/>
      <c r="T634" s="91"/>
      <c r="U634" s="101"/>
      <c r="V634" s="101"/>
      <c r="W634" s="101"/>
    </row>
    <row r="635">
      <c r="A635" s="94"/>
      <c r="B635" s="138"/>
      <c r="C635" s="120"/>
      <c r="D635" s="120"/>
      <c r="E635" s="120"/>
      <c r="F635" s="91"/>
      <c r="G635" s="88"/>
      <c r="H635" s="94"/>
      <c r="I635" s="91"/>
      <c r="J635" s="94"/>
      <c r="K635" s="94"/>
      <c r="L635" s="94"/>
      <c r="M635" s="147"/>
      <c r="N635" s="147"/>
      <c r="O635" s="147"/>
      <c r="P635" s="147"/>
      <c r="Q635" s="94"/>
      <c r="R635" s="91"/>
      <c r="S635" s="148"/>
      <c r="T635" s="91"/>
      <c r="U635" s="101"/>
      <c r="V635" s="101"/>
      <c r="W635" s="101"/>
    </row>
    <row r="636">
      <c r="A636" s="94"/>
      <c r="B636" s="138"/>
      <c r="C636" s="120"/>
      <c r="D636" s="120"/>
      <c r="E636" s="120"/>
      <c r="F636" s="91"/>
      <c r="G636" s="88"/>
      <c r="H636" s="94"/>
      <c r="I636" s="91"/>
      <c r="J636" s="94"/>
      <c r="K636" s="94"/>
      <c r="L636" s="94"/>
      <c r="M636" s="147"/>
      <c r="N636" s="147"/>
      <c r="O636" s="147"/>
      <c r="P636" s="147"/>
      <c r="Q636" s="94"/>
      <c r="R636" s="91"/>
      <c r="S636" s="148"/>
      <c r="T636" s="91"/>
      <c r="U636" s="101"/>
      <c r="V636" s="101"/>
      <c r="W636" s="101"/>
    </row>
    <row r="637">
      <c r="A637" s="94"/>
      <c r="B637" s="138"/>
      <c r="C637" s="120"/>
      <c r="D637" s="120"/>
      <c r="E637" s="120"/>
      <c r="F637" s="91"/>
      <c r="G637" s="88"/>
      <c r="H637" s="94"/>
      <c r="I637" s="91"/>
      <c r="J637" s="94"/>
      <c r="K637" s="94"/>
      <c r="L637" s="94"/>
      <c r="M637" s="147"/>
      <c r="N637" s="147"/>
      <c r="O637" s="147"/>
      <c r="P637" s="147"/>
      <c r="Q637" s="94"/>
      <c r="R637" s="91"/>
      <c r="S637" s="148"/>
      <c r="T637" s="91"/>
      <c r="U637" s="101"/>
      <c r="V637" s="101"/>
      <c r="W637" s="101"/>
    </row>
    <row r="638">
      <c r="A638" s="94"/>
      <c r="B638" s="138"/>
      <c r="C638" s="120"/>
      <c r="D638" s="120"/>
      <c r="E638" s="120"/>
      <c r="F638" s="91"/>
      <c r="G638" s="88"/>
      <c r="H638" s="94"/>
      <c r="I638" s="91"/>
      <c r="J638" s="94"/>
      <c r="K638" s="94"/>
      <c r="L638" s="94"/>
      <c r="M638" s="147"/>
      <c r="N638" s="147"/>
      <c r="O638" s="147"/>
      <c r="P638" s="147"/>
      <c r="Q638" s="94"/>
      <c r="R638" s="91"/>
      <c r="S638" s="148"/>
      <c r="T638" s="91"/>
      <c r="U638" s="101"/>
      <c r="V638" s="101"/>
      <c r="W638" s="101"/>
    </row>
    <row r="639">
      <c r="A639" s="94"/>
      <c r="B639" s="138"/>
      <c r="C639" s="120"/>
      <c r="D639" s="120"/>
      <c r="E639" s="120"/>
      <c r="F639" s="91"/>
      <c r="G639" s="88"/>
      <c r="H639" s="94"/>
      <c r="I639" s="91"/>
      <c r="J639" s="94"/>
      <c r="K639" s="94"/>
      <c r="L639" s="94"/>
      <c r="M639" s="147"/>
      <c r="N639" s="147"/>
      <c r="O639" s="147"/>
      <c r="P639" s="147"/>
      <c r="Q639" s="94"/>
      <c r="R639" s="91"/>
      <c r="S639" s="148"/>
      <c r="T639" s="91"/>
      <c r="U639" s="101"/>
      <c r="V639" s="101"/>
      <c r="W639" s="101"/>
    </row>
    <row r="640">
      <c r="A640" s="94"/>
      <c r="B640" s="138"/>
      <c r="C640" s="120"/>
      <c r="D640" s="120"/>
      <c r="E640" s="120"/>
      <c r="F640" s="91"/>
      <c r="G640" s="88"/>
      <c r="H640" s="94"/>
      <c r="I640" s="91"/>
      <c r="J640" s="94"/>
      <c r="K640" s="94"/>
      <c r="L640" s="94"/>
      <c r="M640" s="147"/>
      <c r="N640" s="147"/>
      <c r="O640" s="147"/>
      <c r="P640" s="147"/>
      <c r="Q640" s="94"/>
      <c r="R640" s="91"/>
      <c r="S640" s="148"/>
      <c r="T640" s="91"/>
      <c r="U640" s="101"/>
      <c r="V640" s="101"/>
      <c r="W640" s="101"/>
    </row>
    <row r="641">
      <c r="A641" s="94"/>
      <c r="B641" s="138"/>
      <c r="C641" s="120"/>
      <c r="D641" s="120"/>
      <c r="E641" s="120"/>
      <c r="F641" s="91"/>
      <c r="G641" s="88"/>
      <c r="H641" s="94"/>
      <c r="I641" s="91"/>
      <c r="J641" s="94"/>
      <c r="K641" s="94"/>
      <c r="L641" s="94"/>
      <c r="M641" s="147"/>
      <c r="N641" s="147"/>
      <c r="O641" s="147"/>
      <c r="P641" s="147"/>
      <c r="Q641" s="94"/>
      <c r="R641" s="91"/>
      <c r="S641" s="148"/>
      <c r="T641" s="91"/>
      <c r="U641" s="101"/>
      <c r="V641" s="101"/>
      <c r="W641" s="101"/>
    </row>
    <row r="642">
      <c r="A642" s="94"/>
      <c r="B642" s="138"/>
      <c r="C642" s="120"/>
      <c r="D642" s="120"/>
      <c r="E642" s="120"/>
      <c r="F642" s="91"/>
      <c r="G642" s="88"/>
      <c r="H642" s="94"/>
      <c r="I642" s="91"/>
      <c r="J642" s="94"/>
      <c r="K642" s="94"/>
      <c r="L642" s="94"/>
      <c r="M642" s="147"/>
      <c r="N642" s="147"/>
      <c r="O642" s="147"/>
      <c r="P642" s="147"/>
      <c r="Q642" s="94"/>
      <c r="R642" s="91"/>
      <c r="S642" s="148"/>
      <c r="T642" s="91"/>
      <c r="U642" s="101"/>
      <c r="V642" s="101"/>
      <c r="W642" s="101"/>
    </row>
    <row r="643">
      <c r="A643" s="94"/>
      <c r="B643" s="138"/>
      <c r="C643" s="120"/>
      <c r="D643" s="120"/>
      <c r="E643" s="120"/>
      <c r="F643" s="91"/>
      <c r="G643" s="88"/>
      <c r="H643" s="94"/>
      <c r="I643" s="91"/>
      <c r="J643" s="94"/>
      <c r="K643" s="94"/>
      <c r="L643" s="94"/>
      <c r="M643" s="147"/>
      <c r="N643" s="147"/>
      <c r="O643" s="147"/>
      <c r="P643" s="147"/>
      <c r="Q643" s="94"/>
      <c r="R643" s="91"/>
      <c r="S643" s="148"/>
      <c r="T643" s="91"/>
      <c r="U643" s="101"/>
      <c r="V643" s="101"/>
      <c r="W643" s="101"/>
    </row>
    <row r="644">
      <c r="A644" s="94"/>
      <c r="B644" s="138"/>
      <c r="C644" s="120"/>
      <c r="D644" s="120"/>
      <c r="E644" s="120"/>
      <c r="F644" s="91"/>
      <c r="G644" s="88"/>
      <c r="H644" s="94"/>
      <c r="I644" s="91"/>
      <c r="J644" s="94"/>
      <c r="K644" s="94"/>
      <c r="L644" s="94"/>
      <c r="M644" s="147"/>
      <c r="N644" s="147"/>
      <c r="O644" s="147"/>
      <c r="P644" s="147"/>
      <c r="Q644" s="94"/>
      <c r="R644" s="91"/>
      <c r="S644" s="148"/>
      <c r="T644" s="91"/>
      <c r="U644" s="101"/>
      <c r="V644" s="101"/>
      <c r="W644" s="101"/>
    </row>
    <row r="645">
      <c r="A645" s="94"/>
      <c r="B645" s="138"/>
      <c r="C645" s="120"/>
      <c r="D645" s="120"/>
      <c r="E645" s="120"/>
      <c r="F645" s="91"/>
      <c r="G645" s="88"/>
      <c r="H645" s="94"/>
      <c r="I645" s="91"/>
      <c r="J645" s="94"/>
      <c r="K645" s="94"/>
      <c r="L645" s="94"/>
      <c r="M645" s="147"/>
      <c r="N645" s="147"/>
      <c r="O645" s="147"/>
      <c r="P645" s="147"/>
      <c r="Q645" s="94"/>
      <c r="R645" s="91"/>
      <c r="S645" s="148"/>
      <c r="T645" s="91"/>
      <c r="U645" s="101"/>
      <c r="V645" s="101"/>
      <c r="W645" s="101"/>
    </row>
    <row r="646">
      <c r="A646" s="94"/>
      <c r="B646" s="138"/>
      <c r="C646" s="120"/>
      <c r="D646" s="120"/>
      <c r="E646" s="120"/>
      <c r="F646" s="91"/>
      <c r="G646" s="88"/>
      <c r="H646" s="94"/>
      <c r="I646" s="91"/>
      <c r="J646" s="94"/>
      <c r="K646" s="94"/>
      <c r="L646" s="94"/>
      <c r="M646" s="147"/>
      <c r="N646" s="147"/>
      <c r="O646" s="147"/>
      <c r="P646" s="147"/>
      <c r="Q646" s="94"/>
      <c r="R646" s="91"/>
      <c r="S646" s="148"/>
      <c r="T646" s="91"/>
      <c r="U646" s="101"/>
      <c r="V646" s="101"/>
      <c r="W646" s="101"/>
    </row>
    <row r="647">
      <c r="A647" s="94"/>
      <c r="B647" s="138"/>
      <c r="C647" s="120"/>
      <c r="D647" s="120"/>
      <c r="E647" s="120"/>
      <c r="F647" s="91"/>
      <c r="G647" s="88"/>
      <c r="H647" s="94"/>
      <c r="I647" s="91"/>
      <c r="J647" s="94"/>
      <c r="K647" s="94"/>
      <c r="L647" s="94"/>
      <c r="M647" s="147"/>
      <c r="N647" s="147"/>
      <c r="O647" s="147"/>
      <c r="P647" s="147"/>
      <c r="Q647" s="94"/>
      <c r="R647" s="91"/>
      <c r="S647" s="148"/>
      <c r="T647" s="91"/>
      <c r="U647" s="101"/>
      <c r="V647" s="101"/>
      <c r="W647" s="101"/>
    </row>
    <row r="648">
      <c r="A648" s="94"/>
      <c r="B648" s="138"/>
      <c r="C648" s="120"/>
      <c r="D648" s="120"/>
      <c r="E648" s="120"/>
      <c r="F648" s="91"/>
      <c r="G648" s="88"/>
      <c r="H648" s="94"/>
      <c r="I648" s="91"/>
      <c r="J648" s="94"/>
      <c r="K648" s="94"/>
      <c r="L648" s="94"/>
      <c r="M648" s="147"/>
      <c r="N648" s="147"/>
      <c r="O648" s="147"/>
      <c r="P648" s="147"/>
      <c r="Q648" s="94"/>
      <c r="R648" s="91"/>
      <c r="S648" s="148"/>
      <c r="T648" s="91"/>
      <c r="U648" s="101"/>
      <c r="V648" s="101"/>
      <c r="W648" s="101"/>
    </row>
    <row r="649">
      <c r="A649" s="94"/>
      <c r="B649" s="138"/>
      <c r="C649" s="120"/>
      <c r="D649" s="120"/>
      <c r="E649" s="120"/>
      <c r="F649" s="91"/>
      <c r="G649" s="88"/>
      <c r="H649" s="94"/>
      <c r="I649" s="91"/>
      <c r="J649" s="94"/>
      <c r="K649" s="94"/>
      <c r="L649" s="94"/>
      <c r="M649" s="147"/>
      <c r="N649" s="147"/>
      <c r="O649" s="147"/>
      <c r="P649" s="147"/>
      <c r="Q649" s="94"/>
      <c r="R649" s="91"/>
      <c r="S649" s="148"/>
      <c r="T649" s="91"/>
      <c r="U649" s="101"/>
      <c r="V649" s="101"/>
      <c r="W649" s="101"/>
    </row>
    <row r="650">
      <c r="A650" s="94"/>
      <c r="B650" s="138"/>
      <c r="C650" s="120"/>
      <c r="D650" s="120"/>
      <c r="E650" s="120"/>
      <c r="F650" s="91"/>
      <c r="G650" s="88"/>
      <c r="H650" s="94"/>
      <c r="I650" s="91"/>
      <c r="J650" s="94"/>
      <c r="K650" s="94"/>
      <c r="L650" s="94"/>
      <c r="M650" s="147"/>
      <c r="N650" s="147"/>
      <c r="O650" s="147"/>
      <c r="P650" s="147"/>
      <c r="Q650" s="94"/>
      <c r="R650" s="91"/>
      <c r="S650" s="148"/>
      <c r="T650" s="91"/>
      <c r="U650" s="101"/>
      <c r="V650" s="101"/>
      <c r="W650" s="101"/>
    </row>
    <row r="651">
      <c r="A651" s="94"/>
      <c r="B651" s="138"/>
      <c r="C651" s="120"/>
      <c r="D651" s="120"/>
      <c r="E651" s="120"/>
      <c r="F651" s="91"/>
      <c r="G651" s="88"/>
      <c r="H651" s="94"/>
      <c r="I651" s="91"/>
      <c r="J651" s="94"/>
      <c r="K651" s="94"/>
      <c r="L651" s="94"/>
      <c r="M651" s="147"/>
      <c r="N651" s="147"/>
      <c r="O651" s="147"/>
      <c r="P651" s="147"/>
      <c r="Q651" s="94"/>
      <c r="R651" s="91"/>
      <c r="S651" s="148"/>
      <c r="T651" s="91"/>
      <c r="U651" s="101"/>
      <c r="V651" s="101"/>
      <c r="W651" s="101"/>
    </row>
    <row r="652">
      <c r="A652" s="94"/>
      <c r="B652" s="138"/>
      <c r="C652" s="120"/>
      <c r="D652" s="120"/>
      <c r="E652" s="120"/>
      <c r="F652" s="91"/>
      <c r="G652" s="88"/>
      <c r="H652" s="94"/>
      <c r="I652" s="91"/>
      <c r="J652" s="94"/>
      <c r="K652" s="94"/>
      <c r="L652" s="94"/>
      <c r="M652" s="147"/>
      <c r="N652" s="147"/>
      <c r="O652" s="147"/>
      <c r="P652" s="147"/>
      <c r="Q652" s="94"/>
      <c r="R652" s="91"/>
      <c r="S652" s="148"/>
      <c r="T652" s="91"/>
      <c r="U652" s="101"/>
      <c r="V652" s="101"/>
      <c r="W652" s="101"/>
    </row>
    <row r="653">
      <c r="A653" s="94"/>
      <c r="B653" s="138"/>
      <c r="C653" s="120"/>
      <c r="D653" s="120"/>
      <c r="E653" s="120"/>
      <c r="F653" s="91"/>
      <c r="G653" s="88"/>
      <c r="H653" s="94"/>
      <c r="I653" s="91"/>
      <c r="J653" s="94"/>
      <c r="K653" s="94"/>
      <c r="L653" s="94"/>
      <c r="M653" s="147"/>
      <c r="N653" s="147"/>
      <c r="O653" s="147"/>
      <c r="P653" s="147"/>
      <c r="Q653" s="94"/>
      <c r="R653" s="91"/>
      <c r="S653" s="148"/>
      <c r="T653" s="91"/>
      <c r="U653" s="101"/>
      <c r="V653" s="101"/>
      <c r="W653" s="101"/>
    </row>
    <row r="654">
      <c r="A654" s="94"/>
      <c r="B654" s="138"/>
      <c r="C654" s="120"/>
      <c r="D654" s="120"/>
      <c r="E654" s="120"/>
      <c r="F654" s="91"/>
      <c r="G654" s="88"/>
      <c r="H654" s="94"/>
      <c r="I654" s="91"/>
      <c r="J654" s="94"/>
      <c r="K654" s="94"/>
      <c r="L654" s="94"/>
      <c r="M654" s="147"/>
      <c r="N654" s="147"/>
      <c r="O654" s="147"/>
      <c r="P654" s="147"/>
      <c r="Q654" s="94"/>
      <c r="R654" s="91"/>
      <c r="S654" s="148"/>
      <c r="T654" s="91"/>
      <c r="U654" s="101"/>
      <c r="V654" s="101"/>
      <c r="W654" s="101"/>
    </row>
    <row r="655">
      <c r="A655" s="94"/>
      <c r="B655" s="138"/>
      <c r="C655" s="120"/>
      <c r="D655" s="120"/>
      <c r="E655" s="120"/>
      <c r="F655" s="91"/>
      <c r="G655" s="88"/>
      <c r="H655" s="94"/>
      <c r="I655" s="91"/>
      <c r="J655" s="94"/>
      <c r="K655" s="94"/>
      <c r="L655" s="94"/>
      <c r="M655" s="147"/>
      <c r="N655" s="147"/>
      <c r="O655" s="147"/>
      <c r="P655" s="147"/>
      <c r="Q655" s="94"/>
      <c r="R655" s="91"/>
      <c r="S655" s="148"/>
      <c r="T655" s="91"/>
      <c r="U655" s="101"/>
      <c r="V655" s="101"/>
      <c r="W655" s="101"/>
    </row>
    <row r="656">
      <c r="A656" s="94"/>
      <c r="B656" s="138"/>
      <c r="C656" s="120"/>
      <c r="D656" s="120"/>
      <c r="E656" s="120"/>
      <c r="F656" s="91"/>
      <c r="G656" s="88"/>
      <c r="H656" s="94"/>
      <c r="I656" s="91"/>
      <c r="J656" s="94"/>
      <c r="K656" s="94"/>
      <c r="L656" s="94"/>
      <c r="M656" s="147"/>
      <c r="N656" s="147"/>
      <c r="O656" s="147"/>
      <c r="P656" s="147"/>
      <c r="Q656" s="94"/>
      <c r="R656" s="91"/>
      <c r="S656" s="148"/>
      <c r="T656" s="91"/>
      <c r="U656" s="101"/>
      <c r="V656" s="101"/>
      <c r="W656" s="101"/>
    </row>
    <row r="657">
      <c r="A657" s="94"/>
      <c r="B657" s="138"/>
      <c r="C657" s="120"/>
      <c r="D657" s="120"/>
      <c r="E657" s="120"/>
      <c r="F657" s="91"/>
      <c r="G657" s="88"/>
      <c r="H657" s="94"/>
      <c r="I657" s="91"/>
      <c r="J657" s="94"/>
      <c r="K657" s="94"/>
      <c r="L657" s="94"/>
      <c r="M657" s="147"/>
      <c r="N657" s="147"/>
      <c r="O657" s="147"/>
      <c r="P657" s="147"/>
      <c r="Q657" s="94"/>
      <c r="R657" s="91"/>
      <c r="S657" s="148"/>
      <c r="T657" s="91"/>
      <c r="U657" s="101"/>
      <c r="V657" s="101"/>
      <c r="W657" s="101"/>
    </row>
    <row r="658">
      <c r="A658" s="94"/>
      <c r="B658" s="138"/>
      <c r="C658" s="120"/>
      <c r="D658" s="120"/>
      <c r="E658" s="120"/>
      <c r="F658" s="91"/>
      <c r="G658" s="88"/>
      <c r="H658" s="94"/>
      <c r="I658" s="91"/>
      <c r="J658" s="94"/>
      <c r="K658" s="94"/>
      <c r="L658" s="94"/>
      <c r="M658" s="147"/>
      <c r="N658" s="147"/>
      <c r="O658" s="147"/>
      <c r="P658" s="147"/>
      <c r="Q658" s="94"/>
      <c r="R658" s="91"/>
      <c r="S658" s="148"/>
      <c r="T658" s="91"/>
      <c r="U658" s="101"/>
      <c r="V658" s="101"/>
      <c r="W658" s="101"/>
    </row>
    <row r="659">
      <c r="A659" s="94"/>
      <c r="B659" s="138"/>
      <c r="C659" s="120"/>
      <c r="D659" s="120"/>
      <c r="E659" s="120"/>
      <c r="F659" s="91"/>
      <c r="G659" s="88"/>
      <c r="H659" s="94"/>
      <c r="I659" s="91"/>
      <c r="J659" s="94"/>
      <c r="K659" s="94"/>
      <c r="L659" s="94"/>
      <c r="M659" s="147"/>
      <c r="N659" s="147"/>
      <c r="O659" s="147"/>
      <c r="P659" s="147"/>
      <c r="Q659" s="94"/>
      <c r="R659" s="91"/>
      <c r="S659" s="148"/>
      <c r="T659" s="91"/>
      <c r="U659" s="101"/>
      <c r="V659" s="101"/>
      <c r="W659" s="101"/>
    </row>
    <row r="660">
      <c r="A660" s="94"/>
      <c r="B660" s="138"/>
      <c r="C660" s="120"/>
      <c r="D660" s="120"/>
      <c r="E660" s="120"/>
      <c r="F660" s="91"/>
      <c r="G660" s="88"/>
      <c r="H660" s="94"/>
      <c r="I660" s="91"/>
      <c r="J660" s="94"/>
      <c r="K660" s="94"/>
      <c r="L660" s="94"/>
      <c r="M660" s="147"/>
      <c r="N660" s="147"/>
      <c r="O660" s="147"/>
      <c r="P660" s="147"/>
      <c r="Q660" s="94"/>
      <c r="R660" s="91"/>
      <c r="S660" s="148"/>
      <c r="T660" s="91"/>
      <c r="U660" s="101"/>
      <c r="V660" s="101"/>
      <c r="W660" s="101"/>
    </row>
    <row r="661">
      <c r="A661" s="94"/>
      <c r="B661" s="138"/>
      <c r="C661" s="120"/>
      <c r="D661" s="120"/>
      <c r="E661" s="120"/>
      <c r="F661" s="91"/>
      <c r="G661" s="88"/>
      <c r="H661" s="94"/>
      <c r="I661" s="91"/>
      <c r="J661" s="94"/>
      <c r="K661" s="94"/>
      <c r="L661" s="94"/>
      <c r="M661" s="147"/>
      <c r="N661" s="147"/>
      <c r="O661" s="147"/>
      <c r="P661" s="147"/>
      <c r="Q661" s="94"/>
      <c r="R661" s="91"/>
      <c r="S661" s="148"/>
      <c r="T661" s="91"/>
      <c r="U661" s="101"/>
      <c r="V661" s="101"/>
      <c r="W661" s="101"/>
    </row>
    <row r="662">
      <c r="A662" s="94"/>
      <c r="B662" s="138"/>
      <c r="C662" s="120"/>
      <c r="D662" s="120"/>
      <c r="E662" s="120"/>
      <c r="F662" s="91"/>
      <c r="G662" s="88"/>
      <c r="H662" s="94"/>
      <c r="I662" s="91"/>
      <c r="J662" s="94"/>
      <c r="K662" s="94"/>
      <c r="L662" s="94"/>
      <c r="M662" s="147"/>
      <c r="N662" s="147"/>
      <c r="O662" s="147"/>
      <c r="P662" s="147"/>
      <c r="Q662" s="94"/>
      <c r="R662" s="91"/>
      <c r="S662" s="148"/>
      <c r="T662" s="91"/>
      <c r="U662" s="101"/>
      <c r="V662" s="101"/>
      <c r="W662" s="101"/>
    </row>
    <row r="663">
      <c r="A663" s="94"/>
      <c r="B663" s="138"/>
      <c r="C663" s="120"/>
      <c r="D663" s="120"/>
      <c r="E663" s="120"/>
      <c r="F663" s="91"/>
      <c r="G663" s="88"/>
      <c r="H663" s="94"/>
      <c r="I663" s="91"/>
      <c r="J663" s="94"/>
      <c r="K663" s="94"/>
      <c r="L663" s="94"/>
      <c r="M663" s="147"/>
      <c r="N663" s="147"/>
      <c r="O663" s="147"/>
      <c r="P663" s="147"/>
      <c r="Q663" s="94"/>
      <c r="R663" s="91"/>
      <c r="S663" s="148"/>
      <c r="T663" s="91"/>
      <c r="U663" s="101"/>
      <c r="V663" s="101"/>
      <c r="W663" s="101"/>
    </row>
    <row r="664">
      <c r="A664" s="94"/>
      <c r="B664" s="138"/>
      <c r="C664" s="120"/>
      <c r="D664" s="120"/>
      <c r="E664" s="120"/>
      <c r="F664" s="91"/>
      <c r="G664" s="88"/>
      <c r="H664" s="94"/>
      <c r="I664" s="91"/>
      <c r="J664" s="94"/>
      <c r="K664" s="94"/>
      <c r="L664" s="94"/>
      <c r="M664" s="147"/>
      <c r="N664" s="147"/>
      <c r="O664" s="147"/>
      <c r="P664" s="147"/>
      <c r="Q664" s="94"/>
      <c r="R664" s="91"/>
      <c r="S664" s="148"/>
      <c r="T664" s="91"/>
      <c r="U664" s="101"/>
      <c r="V664" s="101"/>
      <c r="W664" s="101"/>
    </row>
    <row r="665">
      <c r="A665" s="94"/>
      <c r="B665" s="138"/>
      <c r="C665" s="120"/>
      <c r="D665" s="120"/>
      <c r="E665" s="120"/>
      <c r="F665" s="91"/>
      <c r="G665" s="88"/>
      <c r="H665" s="94"/>
      <c r="I665" s="91"/>
      <c r="J665" s="94"/>
      <c r="K665" s="94"/>
      <c r="L665" s="94"/>
      <c r="M665" s="147"/>
      <c r="N665" s="147"/>
      <c r="O665" s="147"/>
      <c r="P665" s="147"/>
      <c r="Q665" s="94"/>
      <c r="R665" s="91"/>
      <c r="S665" s="148"/>
      <c r="T665" s="91"/>
      <c r="U665" s="101"/>
      <c r="V665" s="101"/>
      <c r="W665" s="101"/>
    </row>
    <row r="666">
      <c r="A666" s="94"/>
      <c r="B666" s="138"/>
      <c r="C666" s="120"/>
      <c r="D666" s="120"/>
      <c r="E666" s="120"/>
      <c r="F666" s="91"/>
      <c r="G666" s="88"/>
      <c r="H666" s="94"/>
      <c r="I666" s="91"/>
      <c r="J666" s="94"/>
      <c r="K666" s="94"/>
      <c r="L666" s="94"/>
      <c r="M666" s="147"/>
      <c r="N666" s="147"/>
      <c r="O666" s="147"/>
      <c r="P666" s="147"/>
      <c r="Q666" s="94"/>
      <c r="R666" s="91"/>
      <c r="S666" s="148"/>
      <c r="T666" s="91"/>
      <c r="U666" s="101"/>
      <c r="V666" s="101"/>
      <c r="W666" s="101"/>
    </row>
    <row r="667">
      <c r="A667" s="94"/>
      <c r="B667" s="138"/>
      <c r="C667" s="120"/>
      <c r="D667" s="120"/>
      <c r="E667" s="120"/>
      <c r="F667" s="91"/>
      <c r="G667" s="88"/>
      <c r="H667" s="94"/>
      <c r="I667" s="91"/>
      <c r="J667" s="94"/>
      <c r="K667" s="94"/>
      <c r="L667" s="94"/>
      <c r="M667" s="147"/>
      <c r="N667" s="147"/>
      <c r="O667" s="147"/>
      <c r="P667" s="147"/>
      <c r="Q667" s="94"/>
      <c r="R667" s="91"/>
      <c r="S667" s="148"/>
      <c r="T667" s="91"/>
      <c r="U667" s="101"/>
      <c r="V667" s="101"/>
      <c r="W667" s="101"/>
    </row>
    <row r="668">
      <c r="A668" s="94"/>
      <c r="B668" s="138"/>
      <c r="C668" s="120"/>
      <c r="D668" s="120"/>
      <c r="E668" s="120"/>
      <c r="F668" s="91"/>
      <c r="G668" s="88"/>
      <c r="H668" s="94"/>
      <c r="I668" s="91"/>
      <c r="J668" s="94"/>
      <c r="K668" s="94"/>
      <c r="L668" s="94"/>
      <c r="M668" s="147"/>
      <c r="N668" s="147"/>
      <c r="O668" s="147"/>
      <c r="P668" s="147"/>
      <c r="Q668" s="94"/>
      <c r="R668" s="91"/>
      <c r="S668" s="148"/>
      <c r="T668" s="91"/>
      <c r="U668" s="101"/>
      <c r="V668" s="101"/>
      <c r="W668" s="101"/>
    </row>
    <row r="669">
      <c r="A669" s="94"/>
      <c r="B669" s="138"/>
      <c r="C669" s="120"/>
      <c r="D669" s="120"/>
      <c r="E669" s="120"/>
      <c r="F669" s="91"/>
      <c r="G669" s="88"/>
      <c r="H669" s="94"/>
      <c r="I669" s="91"/>
      <c r="J669" s="94"/>
      <c r="K669" s="94"/>
      <c r="L669" s="94"/>
      <c r="M669" s="147"/>
      <c r="N669" s="147"/>
      <c r="O669" s="147"/>
      <c r="P669" s="147"/>
      <c r="Q669" s="94"/>
      <c r="R669" s="91"/>
      <c r="S669" s="148"/>
      <c r="T669" s="91"/>
      <c r="U669" s="101"/>
      <c r="V669" s="101"/>
      <c r="W669" s="101"/>
    </row>
    <row r="670">
      <c r="A670" s="94"/>
      <c r="B670" s="138"/>
      <c r="C670" s="120"/>
      <c r="D670" s="120"/>
      <c r="E670" s="120"/>
      <c r="F670" s="91"/>
      <c r="G670" s="88"/>
      <c r="H670" s="94"/>
      <c r="I670" s="91"/>
      <c r="J670" s="94"/>
      <c r="K670" s="94"/>
      <c r="L670" s="94"/>
      <c r="M670" s="147"/>
      <c r="N670" s="147"/>
      <c r="O670" s="147"/>
      <c r="P670" s="147"/>
      <c r="Q670" s="94"/>
      <c r="R670" s="91"/>
      <c r="S670" s="148"/>
      <c r="T670" s="91"/>
      <c r="U670" s="101"/>
      <c r="V670" s="101"/>
      <c r="W670" s="101"/>
    </row>
    <row r="671">
      <c r="A671" s="94"/>
      <c r="B671" s="138"/>
      <c r="C671" s="120"/>
      <c r="D671" s="120"/>
      <c r="E671" s="120"/>
      <c r="F671" s="91"/>
      <c r="G671" s="88"/>
      <c r="H671" s="94"/>
      <c r="I671" s="91"/>
      <c r="J671" s="94"/>
      <c r="K671" s="94"/>
      <c r="L671" s="94"/>
      <c r="M671" s="147"/>
      <c r="N671" s="147"/>
      <c r="O671" s="147"/>
      <c r="P671" s="147"/>
      <c r="Q671" s="94"/>
      <c r="R671" s="91"/>
      <c r="S671" s="148"/>
      <c r="T671" s="91"/>
      <c r="U671" s="101"/>
      <c r="V671" s="101"/>
      <c r="W671" s="101"/>
    </row>
    <row r="672">
      <c r="A672" s="94"/>
      <c r="B672" s="138"/>
      <c r="C672" s="120"/>
      <c r="D672" s="120"/>
      <c r="E672" s="120"/>
      <c r="F672" s="91"/>
      <c r="G672" s="88"/>
      <c r="H672" s="94"/>
      <c r="I672" s="91"/>
      <c r="J672" s="94"/>
      <c r="K672" s="94"/>
      <c r="L672" s="94"/>
      <c r="M672" s="147"/>
      <c r="N672" s="147"/>
      <c r="O672" s="147"/>
      <c r="P672" s="147"/>
      <c r="Q672" s="94"/>
      <c r="R672" s="91"/>
      <c r="S672" s="148"/>
      <c r="T672" s="91"/>
      <c r="U672" s="101"/>
      <c r="V672" s="101"/>
      <c r="W672" s="101"/>
    </row>
    <row r="673">
      <c r="A673" s="94"/>
      <c r="B673" s="138"/>
      <c r="C673" s="120"/>
      <c r="D673" s="120"/>
      <c r="E673" s="120"/>
      <c r="F673" s="91"/>
      <c r="G673" s="88"/>
      <c r="H673" s="94"/>
      <c r="I673" s="91"/>
      <c r="J673" s="94"/>
      <c r="K673" s="94"/>
      <c r="L673" s="94"/>
      <c r="M673" s="147"/>
      <c r="N673" s="147"/>
      <c r="O673" s="147"/>
      <c r="P673" s="147"/>
      <c r="Q673" s="94"/>
      <c r="R673" s="91"/>
      <c r="S673" s="148"/>
      <c r="T673" s="91"/>
      <c r="U673" s="101"/>
      <c r="V673" s="101"/>
      <c r="W673" s="101"/>
    </row>
    <row r="674">
      <c r="A674" s="94"/>
      <c r="B674" s="138"/>
      <c r="C674" s="120"/>
      <c r="D674" s="120"/>
      <c r="E674" s="120"/>
      <c r="F674" s="91"/>
      <c r="G674" s="88"/>
      <c r="H674" s="94"/>
      <c r="I674" s="91"/>
      <c r="J674" s="94"/>
      <c r="K674" s="94"/>
      <c r="L674" s="94"/>
      <c r="M674" s="147"/>
      <c r="N674" s="147"/>
      <c r="O674" s="147"/>
      <c r="P674" s="147"/>
      <c r="Q674" s="94"/>
      <c r="R674" s="91"/>
      <c r="S674" s="148"/>
      <c r="T674" s="91"/>
      <c r="U674" s="101"/>
      <c r="V674" s="101"/>
      <c r="W674" s="101"/>
    </row>
    <row r="675">
      <c r="A675" s="94"/>
      <c r="B675" s="138"/>
      <c r="C675" s="120"/>
      <c r="D675" s="120"/>
      <c r="E675" s="120"/>
      <c r="F675" s="91"/>
      <c r="G675" s="88"/>
      <c r="H675" s="94"/>
      <c r="I675" s="91"/>
      <c r="J675" s="94"/>
      <c r="K675" s="94"/>
      <c r="L675" s="94"/>
      <c r="M675" s="147"/>
      <c r="N675" s="147"/>
      <c r="O675" s="147"/>
      <c r="P675" s="147"/>
      <c r="Q675" s="94"/>
      <c r="R675" s="91"/>
      <c r="S675" s="148"/>
      <c r="T675" s="91"/>
      <c r="U675" s="101"/>
      <c r="V675" s="101"/>
      <c r="W675" s="101"/>
    </row>
    <row r="676">
      <c r="A676" s="94"/>
      <c r="B676" s="138"/>
      <c r="C676" s="120"/>
      <c r="D676" s="120"/>
      <c r="E676" s="120"/>
      <c r="F676" s="91"/>
      <c r="G676" s="88"/>
      <c r="H676" s="94"/>
      <c r="I676" s="91"/>
      <c r="J676" s="94"/>
      <c r="K676" s="94"/>
      <c r="L676" s="94"/>
      <c r="M676" s="147"/>
      <c r="N676" s="147"/>
      <c r="O676" s="147"/>
      <c r="P676" s="147"/>
      <c r="Q676" s="94"/>
      <c r="R676" s="91"/>
      <c r="S676" s="148"/>
      <c r="T676" s="91"/>
      <c r="U676" s="101"/>
      <c r="V676" s="101"/>
      <c r="W676" s="101"/>
    </row>
    <row r="677">
      <c r="A677" s="94"/>
      <c r="B677" s="138"/>
      <c r="C677" s="120"/>
      <c r="D677" s="120"/>
      <c r="E677" s="120"/>
      <c r="F677" s="91"/>
      <c r="G677" s="88"/>
      <c r="H677" s="94"/>
      <c r="I677" s="91"/>
      <c r="J677" s="94"/>
      <c r="K677" s="94"/>
      <c r="L677" s="94"/>
      <c r="M677" s="147"/>
      <c r="N677" s="147"/>
      <c r="O677" s="147"/>
      <c r="P677" s="147"/>
      <c r="Q677" s="94"/>
      <c r="R677" s="91"/>
      <c r="S677" s="148"/>
      <c r="T677" s="91"/>
      <c r="U677" s="101"/>
      <c r="V677" s="101"/>
      <c r="W677" s="101"/>
    </row>
    <row r="678">
      <c r="A678" s="94"/>
      <c r="B678" s="138"/>
      <c r="C678" s="120"/>
      <c r="D678" s="120"/>
      <c r="E678" s="120"/>
      <c r="F678" s="91"/>
      <c r="G678" s="88"/>
      <c r="H678" s="94"/>
      <c r="I678" s="91"/>
      <c r="J678" s="94"/>
      <c r="K678" s="94"/>
      <c r="L678" s="94"/>
      <c r="M678" s="147"/>
      <c r="N678" s="147"/>
      <c r="O678" s="147"/>
      <c r="P678" s="147"/>
      <c r="Q678" s="94"/>
      <c r="R678" s="91"/>
      <c r="S678" s="148"/>
      <c r="T678" s="91"/>
      <c r="U678" s="101"/>
      <c r="V678" s="101"/>
      <c r="W678" s="101"/>
    </row>
    <row r="679">
      <c r="A679" s="94"/>
      <c r="B679" s="138"/>
      <c r="C679" s="120"/>
      <c r="D679" s="120"/>
      <c r="E679" s="120"/>
      <c r="F679" s="91"/>
      <c r="G679" s="88"/>
      <c r="H679" s="94"/>
      <c r="I679" s="91"/>
      <c r="J679" s="94"/>
      <c r="K679" s="94"/>
      <c r="L679" s="94"/>
      <c r="M679" s="147"/>
      <c r="N679" s="147"/>
      <c r="O679" s="147"/>
      <c r="P679" s="147"/>
      <c r="Q679" s="94"/>
      <c r="R679" s="91"/>
      <c r="S679" s="148"/>
      <c r="T679" s="91"/>
      <c r="U679" s="101"/>
      <c r="V679" s="101"/>
      <c r="W679" s="101"/>
    </row>
    <row r="680">
      <c r="A680" s="94"/>
      <c r="B680" s="138"/>
      <c r="C680" s="120"/>
      <c r="D680" s="120"/>
      <c r="E680" s="120"/>
      <c r="F680" s="91"/>
      <c r="G680" s="88"/>
      <c r="H680" s="94"/>
      <c r="I680" s="91"/>
      <c r="J680" s="94"/>
      <c r="K680" s="94"/>
      <c r="L680" s="94"/>
      <c r="M680" s="147"/>
      <c r="N680" s="147"/>
      <c r="O680" s="147"/>
      <c r="P680" s="147"/>
      <c r="Q680" s="94"/>
      <c r="R680" s="91"/>
      <c r="S680" s="148"/>
      <c r="T680" s="91"/>
      <c r="U680" s="101"/>
      <c r="V680" s="101"/>
      <c r="W680" s="101"/>
    </row>
    <row r="681">
      <c r="A681" s="94"/>
      <c r="B681" s="138"/>
      <c r="C681" s="120"/>
      <c r="D681" s="120"/>
      <c r="E681" s="120"/>
      <c r="F681" s="91"/>
      <c r="G681" s="88"/>
      <c r="H681" s="94"/>
      <c r="I681" s="91"/>
      <c r="J681" s="94"/>
      <c r="K681" s="94"/>
      <c r="L681" s="94"/>
      <c r="M681" s="147"/>
      <c r="N681" s="147"/>
      <c r="O681" s="147"/>
      <c r="P681" s="147"/>
      <c r="Q681" s="94"/>
      <c r="R681" s="91"/>
      <c r="S681" s="148"/>
      <c r="T681" s="91"/>
      <c r="U681" s="101"/>
      <c r="V681" s="101"/>
      <c r="W681" s="101"/>
    </row>
    <row r="682">
      <c r="A682" s="94"/>
      <c r="B682" s="138"/>
      <c r="C682" s="120"/>
      <c r="D682" s="120"/>
      <c r="E682" s="120"/>
      <c r="F682" s="91"/>
      <c r="G682" s="88"/>
      <c r="H682" s="94"/>
      <c r="I682" s="91"/>
      <c r="J682" s="94"/>
      <c r="K682" s="94"/>
      <c r="L682" s="94"/>
      <c r="M682" s="147"/>
      <c r="N682" s="147"/>
      <c r="O682" s="147"/>
      <c r="P682" s="147"/>
      <c r="Q682" s="94"/>
      <c r="R682" s="91"/>
      <c r="S682" s="148"/>
      <c r="T682" s="91"/>
      <c r="U682" s="101"/>
      <c r="V682" s="101"/>
      <c r="W682" s="101"/>
    </row>
    <row r="683">
      <c r="A683" s="94"/>
      <c r="B683" s="138"/>
      <c r="C683" s="120"/>
      <c r="D683" s="120"/>
      <c r="E683" s="120"/>
      <c r="F683" s="91"/>
      <c r="G683" s="88"/>
      <c r="H683" s="94"/>
      <c r="I683" s="91"/>
      <c r="J683" s="94"/>
      <c r="K683" s="94"/>
      <c r="L683" s="94"/>
      <c r="M683" s="147"/>
      <c r="N683" s="147"/>
      <c r="O683" s="147"/>
      <c r="P683" s="147"/>
      <c r="Q683" s="94"/>
      <c r="R683" s="91"/>
      <c r="S683" s="148"/>
      <c r="T683" s="91"/>
      <c r="U683" s="101"/>
      <c r="V683" s="101"/>
      <c r="W683" s="101"/>
    </row>
    <row r="684">
      <c r="A684" s="94"/>
      <c r="B684" s="138"/>
      <c r="C684" s="120"/>
      <c r="D684" s="120"/>
      <c r="E684" s="120"/>
      <c r="F684" s="91"/>
      <c r="G684" s="88"/>
      <c r="H684" s="94"/>
      <c r="I684" s="91"/>
      <c r="J684" s="94"/>
      <c r="K684" s="94"/>
      <c r="L684" s="94"/>
      <c r="M684" s="147"/>
      <c r="N684" s="147"/>
      <c r="O684" s="147"/>
      <c r="P684" s="147"/>
      <c r="Q684" s="94"/>
      <c r="R684" s="91"/>
      <c r="S684" s="148"/>
      <c r="T684" s="91"/>
      <c r="U684" s="101"/>
      <c r="V684" s="101"/>
      <c r="W684" s="101"/>
    </row>
    <row r="685">
      <c r="A685" s="94"/>
      <c r="B685" s="138"/>
      <c r="C685" s="120"/>
      <c r="D685" s="120"/>
      <c r="E685" s="120"/>
      <c r="F685" s="91"/>
      <c r="G685" s="88"/>
      <c r="H685" s="94"/>
      <c r="I685" s="91"/>
      <c r="J685" s="94"/>
      <c r="K685" s="94"/>
      <c r="L685" s="94"/>
      <c r="M685" s="147"/>
      <c r="N685" s="147"/>
      <c r="O685" s="147"/>
      <c r="P685" s="147"/>
      <c r="Q685" s="94"/>
      <c r="R685" s="91"/>
      <c r="S685" s="148"/>
      <c r="T685" s="91"/>
      <c r="U685" s="101"/>
      <c r="V685" s="101"/>
      <c r="W685" s="101"/>
    </row>
    <row r="686">
      <c r="A686" s="94"/>
      <c r="B686" s="138"/>
      <c r="C686" s="120"/>
      <c r="D686" s="120"/>
      <c r="E686" s="120"/>
      <c r="F686" s="91"/>
      <c r="G686" s="88"/>
      <c r="H686" s="94"/>
      <c r="I686" s="91"/>
      <c r="J686" s="94"/>
      <c r="K686" s="94"/>
      <c r="L686" s="94"/>
      <c r="M686" s="147"/>
      <c r="N686" s="147"/>
      <c r="O686" s="147"/>
      <c r="P686" s="147"/>
      <c r="Q686" s="94"/>
      <c r="R686" s="91"/>
      <c r="S686" s="148"/>
      <c r="T686" s="91"/>
      <c r="U686" s="101"/>
      <c r="V686" s="101"/>
      <c r="W686" s="101"/>
    </row>
    <row r="687">
      <c r="A687" s="94"/>
      <c r="B687" s="138"/>
      <c r="C687" s="120"/>
      <c r="D687" s="120"/>
      <c r="E687" s="120"/>
      <c r="F687" s="91"/>
      <c r="G687" s="88"/>
      <c r="H687" s="94"/>
      <c r="I687" s="91"/>
      <c r="J687" s="94"/>
      <c r="K687" s="94"/>
      <c r="L687" s="94"/>
      <c r="M687" s="147"/>
      <c r="N687" s="147"/>
      <c r="O687" s="147"/>
      <c r="P687" s="147"/>
      <c r="Q687" s="94"/>
      <c r="R687" s="91"/>
      <c r="S687" s="148"/>
      <c r="T687" s="91"/>
      <c r="U687" s="101"/>
      <c r="V687" s="101"/>
      <c r="W687" s="101"/>
    </row>
    <row r="688">
      <c r="A688" s="94"/>
      <c r="B688" s="138"/>
      <c r="C688" s="120"/>
      <c r="D688" s="120"/>
      <c r="E688" s="120"/>
      <c r="F688" s="91"/>
      <c r="G688" s="88"/>
      <c r="H688" s="94"/>
      <c r="I688" s="91"/>
      <c r="J688" s="94"/>
      <c r="K688" s="94"/>
      <c r="L688" s="94"/>
      <c r="M688" s="147"/>
      <c r="N688" s="147"/>
      <c r="O688" s="147"/>
      <c r="P688" s="147"/>
      <c r="Q688" s="94"/>
      <c r="R688" s="91"/>
      <c r="S688" s="148"/>
      <c r="T688" s="91"/>
      <c r="U688" s="101"/>
      <c r="V688" s="101"/>
      <c r="W688" s="101"/>
    </row>
    <row r="689">
      <c r="A689" s="94"/>
      <c r="B689" s="138"/>
      <c r="C689" s="120"/>
      <c r="D689" s="120"/>
      <c r="E689" s="120"/>
      <c r="F689" s="91"/>
      <c r="G689" s="88"/>
      <c r="H689" s="94"/>
      <c r="I689" s="91"/>
      <c r="J689" s="94"/>
      <c r="K689" s="94"/>
      <c r="L689" s="94"/>
      <c r="M689" s="147"/>
      <c r="N689" s="147"/>
      <c r="O689" s="147"/>
      <c r="P689" s="147"/>
      <c r="Q689" s="94"/>
      <c r="R689" s="91"/>
      <c r="S689" s="148"/>
      <c r="T689" s="91"/>
      <c r="U689" s="101"/>
      <c r="V689" s="101"/>
      <c r="W689" s="101"/>
    </row>
    <row r="690">
      <c r="A690" s="94"/>
      <c r="B690" s="138"/>
      <c r="C690" s="120"/>
      <c r="D690" s="120"/>
      <c r="E690" s="120"/>
      <c r="F690" s="91"/>
      <c r="G690" s="88"/>
      <c r="H690" s="94"/>
      <c r="I690" s="91"/>
      <c r="J690" s="94"/>
      <c r="K690" s="94"/>
      <c r="L690" s="94"/>
      <c r="M690" s="147"/>
      <c r="N690" s="147"/>
      <c r="O690" s="147"/>
      <c r="P690" s="147"/>
      <c r="Q690" s="94"/>
      <c r="R690" s="91"/>
      <c r="S690" s="148"/>
      <c r="T690" s="91"/>
      <c r="U690" s="101"/>
      <c r="V690" s="101"/>
      <c r="W690" s="101"/>
    </row>
    <row r="691">
      <c r="A691" s="94"/>
      <c r="B691" s="138"/>
      <c r="C691" s="120"/>
      <c r="D691" s="120"/>
      <c r="E691" s="120"/>
      <c r="F691" s="91"/>
      <c r="G691" s="88"/>
      <c r="H691" s="94"/>
      <c r="I691" s="91"/>
      <c r="J691" s="94"/>
      <c r="K691" s="94"/>
      <c r="L691" s="94"/>
      <c r="M691" s="147"/>
      <c r="N691" s="147"/>
      <c r="O691" s="147"/>
      <c r="P691" s="147"/>
      <c r="Q691" s="94"/>
      <c r="R691" s="91"/>
      <c r="S691" s="148"/>
      <c r="T691" s="91"/>
      <c r="U691" s="101"/>
      <c r="V691" s="101"/>
      <c r="W691" s="101"/>
    </row>
    <row r="692">
      <c r="A692" s="94"/>
      <c r="B692" s="138"/>
      <c r="C692" s="120"/>
      <c r="D692" s="120"/>
      <c r="E692" s="120"/>
      <c r="F692" s="91"/>
      <c r="G692" s="88"/>
      <c r="H692" s="94"/>
      <c r="I692" s="91"/>
      <c r="J692" s="94"/>
      <c r="K692" s="94"/>
      <c r="L692" s="94"/>
      <c r="M692" s="147"/>
      <c r="N692" s="147"/>
      <c r="O692" s="147"/>
      <c r="P692" s="147"/>
      <c r="Q692" s="94"/>
      <c r="R692" s="91"/>
      <c r="S692" s="148"/>
      <c r="T692" s="91"/>
      <c r="U692" s="101"/>
      <c r="V692" s="101"/>
      <c r="W692" s="101"/>
    </row>
    <row r="693">
      <c r="A693" s="94"/>
      <c r="B693" s="138"/>
      <c r="C693" s="120"/>
      <c r="D693" s="120"/>
      <c r="E693" s="120"/>
      <c r="F693" s="91"/>
      <c r="G693" s="88"/>
      <c r="H693" s="94"/>
      <c r="I693" s="91"/>
      <c r="J693" s="94"/>
      <c r="K693" s="94"/>
      <c r="L693" s="94"/>
      <c r="M693" s="147"/>
      <c r="N693" s="147"/>
      <c r="O693" s="147"/>
      <c r="P693" s="147"/>
      <c r="Q693" s="94"/>
      <c r="R693" s="91"/>
      <c r="S693" s="148"/>
      <c r="T693" s="91"/>
      <c r="U693" s="101"/>
      <c r="V693" s="101"/>
      <c r="W693" s="101"/>
    </row>
    <row r="694">
      <c r="A694" s="94"/>
      <c r="B694" s="138"/>
      <c r="C694" s="120"/>
      <c r="D694" s="120"/>
      <c r="E694" s="120"/>
      <c r="F694" s="91"/>
      <c r="G694" s="88"/>
      <c r="H694" s="94"/>
      <c r="I694" s="91"/>
      <c r="J694" s="94"/>
      <c r="K694" s="94"/>
      <c r="L694" s="94"/>
      <c r="M694" s="147"/>
      <c r="N694" s="147"/>
      <c r="O694" s="147"/>
      <c r="P694" s="147"/>
      <c r="Q694" s="94"/>
      <c r="R694" s="91"/>
      <c r="S694" s="148"/>
      <c r="T694" s="91"/>
      <c r="U694" s="101"/>
      <c r="V694" s="101"/>
      <c r="W694" s="101"/>
    </row>
    <row r="695">
      <c r="A695" s="94"/>
      <c r="B695" s="138"/>
      <c r="C695" s="120"/>
      <c r="D695" s="120"/>
      <c r="E695" s="120"/>
      <c r="F695" s="91"/>
      <c r="G695" s="88"/>
      <c r="H695" s="94"/>
      <c r="I695" s="91"/>
      <c r="J695" s="94"/>
      <c r="K695" s="94"/>
      <c r="L695" s="94"/>
      <c r="M695" s="147"/>
      <c r="N695" s="147"/>
      <c r="O695" s="147"/>
      <c r="P695" s="147"/>
      <c r="Q695" s="94"/>
      <c r="R695" s="91"/>
      <c r="S695" s="148"/>
      <c r="T695" s="91"/>
      <c r="U695" s="101"/>
      <c r="V695" s="101"/>
      <c r="W695" s="101"/>
    </row>
    <row r="696">
      <c r="A696" s="94"/>
      <c r="B696" s="138"/>
      <c r="C696" s="120"/>
      <c r="D696" s="120"/>
      <c r="E696" s="120"/>
      <c r="F696" s="91"/>
      <c r="G696" s="88"/>
      <c r="H696" s="94"/>
      <c r="I696" s="91"/>
      <c r="J696" s="94"/>
      <c r="K696" s="94"/>
      <c r="L696" s="94"/>
      <c r="M696" s="147"/>
      <c r="N696" s="147"/>
      <c r="O696" s="147"/>
      <c r="P696" s="147"/>
      <c r="Q696" s="94"/>
      <c r="R696" s="91"/>
      <c r="S696" s="148"/>
      <c r="T696" s="91"/>
      <c r="U696" s="101"/>
      <c r="V696" s="101"/>
      <c r="W696" s="101"/>
    </row>
    <row r="697">
      <c r="A697" s="94"/>
      <c r="B697" s="138"/>
      <c r="C697" s="120"/>
      <c r="D697" s="120"/>
      <c r="E697" s="120"/>
      <c r="F697" s="91"/>
      <c r="G697" s="88"/>
      <c r="H697" s="94"/>
      <c r="I697" s="91"/>
      <c r="J697" s="94"/>
      <c r="K697" s="94"/>
      <c r="L697" s="94"/>
      <c r="M697" s="147"/>
      <c r="N697" s="147"/>
      <c r="O697" s="147"/>
      <c r="P697" s="147"/>
      <c r="Q697" s="94"/>
      <c r="R697" s="91"/>
      <c r="S697" s="148"/>
      <c r="T697" s="91"/>
      <c r="U697" s="101"/>
      <c r="V697" s="101"/>
      <c r="W697" s="101"/>
    </row>
    <row r="698">
      <c r="A698" s="94"/>
      <c r="B698" s="138"/>
      <c r="C698" s="120"/>
      <c r="D698" s="120"/>
      <c r="E698" s="120"/>
      <c r="F698" s="91"/>
      <c r="G698" s="88"/>
      <c r="H698" s="94"/>
      <c r="I698" s="91"/>
      <c r="J698" s="94"/>
      <c r="K698" s="94"/>
      <c r="L698" s="94"/>
      <c r="M698" s="147"/>
      <c r="N698" s="147"/>
      <c r="O698" s="147"/>
      <c r="P698" s="147"/>
      <c r="Q698" s="94"/>
      <c r="R698" s="91"/>
      <c r="S698" s="148"/>
      <c r="T698" s="91"/>
      <c r="U698" s="101"/>
      <c r="V698" s="101"/>
      <c r="W698" s="101"/>
    </row>
    <row r="699">
      <c r="A699" s="94"/>
      <c r="B699" s="138"/>
      <c r="C699" s="120"/>
      <c r="D699" s="120"/>
      <c r="E699" s="120"/>
      <c r="F699" s="91"/>
      <c r="G699" s="88"/>
      <c r="H699" s="94"/>
      <c r="I699" s="91"/>
      <c r="J699" s="94"/>
      <c r="K699" s="94"/>
      <c r="L699" s="94"/>
      <c r="M699" s="147"/>
      <c r="N699" s="147"/>
      <c r="O699" s="147"/>
      <c r="P699" s="147"/>
      <c r="Q699" s="94"/>
      <c r="R699" s="91"/>
      <c r="S699" s="148"/>
      <c r="T699" s="91"/>
      <c r="U699" s="101"/>
      <c r="V699" s="101"/>
      <c r="W699" s="101"/>
    </row>
    <row r="700">
      <c r="A700" s="94"/>
      <c r="B700" s="138"/>
      <c r="C700" s="120"/>
      <c r="D700" s="120"/>
      <c r="E700" s="120"/>
      <c r="F700" s="91"/>
      <c r="G700" s="88"/>
      <c r="H700" s="94"/>
      <c r="I700" s="91"/>
      <c r="J700" s="94"/>
      <c r="K700" s="94"/>
      <c r="L700" s="94"/>
      <c r="M700" s="147"/>
      <c r="N700" s="147"/>
      <c r="O700" s="147"/>
      <c r="P700" s="147"/>
      <c r="Q700" s="94"/>
      <c r="R700" s="91"/>
      <c r="S700" s="148"/>
      <c r="T700" s="91"/>
      <c r="U700" s="101"/>
      <c r="V700" s="101"/>
      <c r="W700" s="101"/>
    </row>
    <row r="701">
      <c r="A701" s="94"/>
      <c r="B701" s="138"/>
      <c r="C701" s="120"/>
      <c r="D701" s="120"/>
      <c r="E701" s="120"/>
      <c r="F701" s="91"/>
      <c r="G701" s="88"/>
      <c r="H701" s="94"/>
      <c r="I701" s="91"/>
      <c r="J701" s="94"/>
      <c r="K701" s="94"/>
      <c r="L701" s="94"/>
      <c r="M701" s="147"/>
      <c r="N701" s="147"/>
      <c r="O701" s="147"/>
      <c r="P701" s="147"/>
      <c r="Q701" s="94"/>
      <c r="R701" s="91"/>
      <c r="S701" s="148"/>
      <c r="T701" s="91"/>
      <c r="U701" s="101"/>
      <c r="V701" s="101"/>
      <c r="W701" s="101"/>
    </row>
    <row r="702">
      <c r="A702" s="94"/>
      <c r="B702" s="138"/>
      <c r="C702" s="120"/>
      <c r="D702" s="120"/>
      <c r="E702" s="120"/>
      <c r="F702" s="91"/>
      <c r="G702" s="88"/>
      <c r="H702" s="94"/>
      <c r="I702" s="91"/>
      <c r="J702" s="94"/>
      <c r="K702" s="94"/>
      <c r="L702" s="94"/>
      <c r="M702" s="147"/>
      <c r="N702" s="147"/>
      <c r="O702" s="147"/>
      <c r="P702" s="147"/>
      <c r="Q702" s="94"/>
      <c r="R702" s="91"/>
      <c r="S702" s="148"/>
      <c r="T702" s="91"/>
      <c r="U702" s="101"/>
      <c r="V702" s="101"/>
      <c r="W702" s="101"/>
    </row>
    <row r="703">
      <c r="A703" s="94"/>
      <c r="B703" s="138"/>
      <c r="C703" s="120"/>
      <c r="D703" s="120"/>
      <c r="E703" s="120"/>
      <c r="F703" s="91"/>
      <c r="G703" s="88"/>
      <c r="H703" s="94"/>
      <c r="I703" s="91"/>
      <c r="J703" s="94"/>
      <c r="K703" s="94"/>
      <c r="L703" s="94"/>
      <c r="M703" s="147"/>
      <c r="N703" s="147"/>
      <c r="O703" s="147"/>
      <c r="P703" s="147"/>
      <c r="Q703" s="94"/>
      <c r="R703" s="91"/>
      <c r="S703" s="148"/>
      <c r="T703" s="91"/>
      <c r="U703" s="101"/>
      <c r="V703" s="101"/>
      <c r="W703" s="101"/>
    </row>
    <row r="704">
      <c r="A704" s="94"/>
      <c r="B704" s="138"/>
      <c r="C704" s="120"/>
      <c r="D704" s="120"/>
      <c r="E704" s="120"/>
      <c r="F704" s="91"/>
      <c r="G704" s="88"/>
      <c r="H704" s="94"/>
      <c r="I704" s="91"/>
      <c r="J704" s="94"/>
      <c r="K704" s="94"/>
      <c r="L704" s="94"/>
      <c r="M704" s="147"/>
      <c r="N704" s="147"/>
      <c r="O704" s="147"/>
      <c r="P704" s="147"/>
      <c r="Q704" s="94"/>
      <c r="R704" s="91"/>
      <c r="S704" s="148"/>
      <c r="T704" s="91"/>
      <c r="U704" s="101"/>
      <c r="V704" s="101"/>
      <c r="W704" s="101"/>
    </row>
    <row r="705">
      <c r="A705" s="94"/>
      <c r="B705" s="138"/>
      <c r="C705" s="120"/>
      <c r="D705" s="120"/>
      <c r="E705" s="120"/>
      <c r="F705" s="91"/>
      <c r="G705" s="88"/>
      <c r="H705" s="94"/>
      <c r="I705" s="91"/>
      <c r="J705" s="94"/>
      <c r="K705" s="94"/>
      <c r="L705" s="94"/>
      <c r="M705" s="147"/>
      <c r="N705" s="147"/>
      <c r="O705" s="147"/>
      <c r="P705" s="147"/>
      <c r="Q705" s="94"/>
      <c r="R705" s="91"/>
      <c r="S705" s="148"/>
      <c r="T705" s="91"/>
      <c r="U705" s="101"/>
      <c r="V705" s="101"/>
      <c r="W705" s="101"/>
    </row>
    <row r="706">
      <c r="A706" s="94"/>
      <c r="B706" s="138"/>
      <c r="C706" s="120"/>
      <c r="D706" s="120"/>
      <c r="E706" s="120"/>
      <c r="F706" s="91"/>
      <c r="G706" s="88"/>
      <c r="H706" s="94"/>
      <c r="I706" s="91"/>
      <c r="J706" s="94"/>
      <c r="K706" s="94"/>
      <c r="L706" s="94"/>
      <c r="M706" s="147"/>
      <c r="N706" s="147"/>
      <c r="O706" s="147"/>
      <c r="P706" s="147"/>
      <c r="Q706" s="94"/>
      <c r="R706" s="91"/>
      <c r="S706" s="148"/>
      <c r="T706" s="91"/>
      <c r="U706" s="101"/>
      <c r="V706" s="101"/>
      <c r="W706" s="101"/>
    </row>
    <row r="707">
      <c r="A707" s="94"/>
      <c r="B707" s="138"/>
      <c r="C707" s="120"/>
      <c r="D707" s="120"/>
      <c r="E707" s="120"/>
      <c r="F707" s="91"/>
      <c r="G707" s="88"/>
      <c r="H707" s="94"/>
      <c r="I707" s="91"/>
      <c r="J707" s="94"/>
      <c r="K707" s="94"/>
      <c r="L707" s="94"/>
      <c r="M707" s="147"/>
      <c r="N707" s="147"/>
      <c r="O707" s="147"/>
      <c r="P707" s="147"/>
      <c r="Q707" s="94"/>
      <c r="R707" s="91"/>
      <c r="S707" s="148"/>
      <c r="T707" s="91"/>
      <c r="U707" s="101"/>
      <c r="V707" s="101"/>
      <c r="W707" s="101"/>
    </row>
    <row r="708">
      <c r="A708" s="94"/>
      <c r="B708" s="138"/>
      <c r="C708" s="120"/>
      <c r="D708" s="120"/>
      <c r="E708" s="120"/>
      <c r="F708" s="91"/>
      <c r="G708" s="88"/>
      <c r="H708" s="94"/>
      <c r="I708" s="91"/>
      <c r="J708" s="94"/>
      <c r="K708" s="94"/>
      <c r="L708" s="94"/>
      <c r="M708" s="147"/>
      <c r="N708" s="147"/>
      <c r="O708" s="147"/>
      <c r="P708" s="147"/>
      <c r="Q708" s="94"/>
      <c r="R708" s="91"/>
      <c r="S708" s="148"/>
      <c r="T708" s="91"/>
      <c r="U708" s="101"/>
      <c r="V708" s="101"/>
      <c r="W708" s="101"/>
    </row>
    <row r="709">
      <c r="A709" s="94"/>
      <c r="B709" s="138"/>
      <c r="C709" s="120"/>
      <c r="D709" s="120"/>
      <c r="E709" s="120"/>
      <c r="F709" s="91"/>
      <c r="G709" s="88"/>
      <c r="H709" s="94"/>
      <c r="I709" s="91"/>
      <c r="J709" s="94"/>
      <c r="K709" s="94"/>
      <c r="L709" s="94"/>
      <c r="M709" s="147"/>
      <c r="N709" s="147"/>
      <c r="O709" s="147"/>
      <c r="P709" s="147"/>
      <c r="Q709" s="94"/>
      <c r="R709" s="91"/>
      <c r="S709" s="148"/>
      <c r="T709" s="91"/>
      <c r="U709" s="101"/>
      <c r="V709" s="101"/>
      <c r="W709" s="101"/>
    </row>
    <row r="710">
      <c r="A710" s="94"/>
      <c r="B710" s="138"/>
      <c r="C710" s="120"/>
      <c r="D710" s="120"/>
      <c r="E710" s="120"/>
      <c r="F710" s="91"/>
      <c r="G710" s="88"/>
      <c r="H710" s="94"/>
      <c r="I710" s="91"/>
      <c r="J710" s="94"/>
      <c r="K710" s="94"/>
      <c r="L710" s="94"/>
      <c r="M710" s="147"/>
      <c r="N710" s="147"/>
      <c r="O710" s="147"/>
      <c r="P710" s="147"/>
      <c r="Q710" s="94"/>
      <c r="R710" s="91"/>
      <c r="S710" s="148"/>
      <c r="T710" s="91"/>
      <c r="U710" s="101"/>
      <c r="V710" s="101"/>
      <c r="W710" s="101"/>
    </row>
    <row r="711">
      <c r="A711" s="94"/>
      <c r="B711" s="138"/>
      <c r="C711" s="120"/>
      <c r="D711" s="120"/>
      <c r="E711" s="120"/>
      <c r="F711" s="91"/>
      <c r="G711" s="88"/>
      <c r="H711" s="94"/>
      <c r="I711" s="91"/>
      <c r="J711" s="94"/>
      <c r="K711" s="94"/>
      <c r="L711" s="94"/>
      <c r="M711" s="147"/>
      <c r="N711" s="147"/>
      <c r="O711" s="147"/>
      <c r="P711" s="147"/>
      <c r="Q711" s="94"/>
      <c r="R711" s="91"/>
      <c r="S711" s="148"/>
      <c r="T711" s="91"/>
      <c r="U711" s="101"/>
      <c r="V711" s="101"/>
      <c r="W711" s="101"/>
    </row>
    <row r="712">
      <c r="A712" s="94"/>
      <c r="B712" s="138"/>
      <c r="C712" s="120"/>
      <c r="D712" s="120"/>
      <c r="E712" s="120"/>
      <c r="F712" s="91"/>
      <c r="G712" s="88"/>
      <c r="H712" s="94"/>
      <c r="I712" s="91"/>
      <c r="J712" s="94"/>
      <c r="K712" s="94"/>
      <c r="L712" s="94"/>
      <c r="M712" s="147"/>
      <c r="N712" s="147"/>
      <c r="O712" s="147"/>
      <c r="P712" s="147"/>
      <c r="Q712" s="94"/>
      <c r="R712" s="91"/>
      <c r="S712" s="148"/>
      <c r="T712" s="91"/>
      <c r="U712" s="101"/>
      <c r="V712" s="101"/>
      <c r="W712" s="101"/>
    </row>
    <row r="713">
      <c r="A713" s="94"/>
      <c r="B713" s="138"/>
      <c r="C713" s="120"/>
      <c r="D713" s="120"/>
      <c r="E713" s="120"/>
      <c r="F713" s="91"/>
      <c r="G713" s="88"/>
      <c r="H713" s="94"/>
      <c r="I713" s="91"/>
      <c r="J713" s="94"/>
      <c r="K713" s="94"/>
      <c r="L713" s="94"/>
      <c r="M713" s="147"/>
      <c r="N713" s="147"/>
      <c r="O713" s="147"/>
      <c r="P713" s="147"/>
      <c r="Q713" s="94"/>
      <c r="R713" s="91"/>
      <c r="S713" s="148"/>
      <c r="T713" s="91"/>
      <c r="U713" s="101"/>
      <c r="V713" s="101"/>
      <c r="W713" s="101"/>
    </row>
    <row r="714">
      <c r="A714" s="94"/>
      <c r="B714" s="138"/>
      <c r="C714" s="120"/>
      <c r="D714" s="120"/>
      <c r="E714" s="120"/>
      <c r="F714" s="91"/>
      <c r="G714" s="88"/>
      <c r="H714" s="94"/>
      <c r="I714" s="91"/>
      <c r="J714" s="94"/>
      <c r="K714" s="94"/>
      <c r="L714" s="94"/>
      <c r="M714" s="147"/>
      <c r="N714" s="147"/>
      <c r="O714" s="147"/>
      <c r="P714" s="147"/>
      <c r="Q714" s="94"/>
      <c r="R714" s="91"/>
      <c r="S714" s="148"/>
      <c r="T714" s="91"/>
      <c r="U714" s="101"/>
      <c r="V714" s="101"/>
      <c r="W714" s="101"/>
    </row>
    <row r="715">
      <c r="A715" s="94"/>
      <c r="B715" s="138"/>
      <c r="C715" s="120"/>
      <c r="D715" s="120"/>
      <c r="E715" s="120"/>
      <c r="F715" s="91"/>
      <c r="G715" s="88"/>
      <c r="H715" s="94"/>
      <c r="I715" s="91"/>
      <c r="J715" s="94"/>
      <c r="K715" s="94"/>
      <c r="L715" s="94"/>
      <c r="M715" s="147"/>
      <c r="N715" s="147"/>
      <c r="O715" s="147"/>
      <c r="P715" s="147"/>
      <c r="Q715" s="94"/>
      <c r="R715" s="91"/>
      <c r="S715" s="148"/>
      <c r="T715" s="91"/>
      <c r="U715" s="101"/>
      <c r="V715" s="101"/>
      <c r="W715" s="101"/>
    </row>
    <row r="716">
      <c r="A716" s="94"/>
      <c r="B716" s="138"/>
      <c r="C716" s="120"/>
      <c r="D716" s="120"/>
      <c r="E716" s="120"/>
      <c r="F716" s="91"/>
      <c r="G716" s="88"/>
      <c r="H716" s="94"/>
      <c r="I716" s="91"/>
      <c r="J716" s="94"/>
      <c r="K716" s="94"/>
      <c r="L716" s="94"/>
      <c r="M716" s="147"/>
      <c r="N716" s="147"/>
      <c r="O716" s="147"/>
      <c r="P716" s="147"/>
      <c r="Q716" s="94"/>
      <c r="R716" s="91"/>
      <c r="S716" s="148"/>
      <c r="T716" s="91"/>
      <c r="U716" s="101"/>
      <c r="V716" s="101"/>
      <c r="W716" s="101"/>
    </row>
    <row r="717">
      <c r="A717" s="94"/>
      <c r="B717" s="138"/>
      <c r="C717" s="120"/>
      <c r="D717" s="120"/>
      <c r="E717" s="120"/>
      <c r="F717" s="91"/>
      <c r="G717" s="88"/>
      <c r="H717" s="94"/>
      <c r="I717" s="91"/>
      <c r="J717" s="94"/>
      <c r="K717" s="94"/>
      <c r="L717" s="94"/>
      <c r="M717" s="147"/>
      <c r="N717" s="147"/>
      <c r="O717" s="147"/>
      <c r="P717" s="147"/>
      <c r="Q717" s="94"/>
      <c r="R717" s="91"/>
      <c r="S717" s="148"/>
      <c r="T717" s="91"/>
      <c r="U717" s="101"/>
      <c r="V717" s="101"/>
      <c r="W717" s="101"/>
    </row>
    <row r="718">
      <c r="A718" s="94"/>
      <c r="B718" s="138"/>
      <c r="C718" s="120"/>
      <c r="D718" s="120"/>
      <c r="E718" s="120"/>
      <c r="F718" s="91"/>
      <c r="G718" s="88"/>
      <c r="H718" s="94"/>
      <c r="I718" s="91"/>
      <c r="J718" s="94"/>
      <c r="K718" s="94"/>
      <c r="L718" s="94"/>
      <c r="M718" s="147"/>
      <c r="N718" s="147"/>
      <c r="O718" s="147"/>
      <c r="P718" s="147"/>
      <c r="Q718" s="94"/>
      <c r="R718" s="91"/>
      <c r="S718" s="148"/>
      <c r="T718" s="91"/>
      <c r="U718" s="101"/>
      <c r="V718" s="101"/>
      <c r="W718" s="101"/>
    </row>
    <row r="719">
      <c r="A719" s="94"/>
      <c r="B719" s="138"/>
      <c r="C719" s="120"/>
      <c r="D719" s="120"/>
      <c r="E719" s="120"/>
      <c r="F719" s="91"/>
      <c r="G719" s="88"/>
      <c r="H719" s="94"/>
      <c r="I719" s="91"/>
      <c r="J719" s="94"/>
      <c r="K719" s="94"/>
      <c r="L719" s="94"/>
      <c r="M719" s="147"/>
      <c r="N719" s="147"/>
      <c r="O719" s="147"/>
      <c r="P719" s="147"/>
      <c r="Q719" s="94"/>
      <c r="R719" s="91"/>
      <c r="S719" s="148"/>
      <c r="T719" s="91"/>
      <c r="U719" s="101"/>
      <c r="V719" s="101"/>
      <c r="W719" s="101"/>
    </row>
    <row r="720">
      <c r="A720" s="94"/>
      <c r="B720" s="138"/>
      <c r="C720" s="120"/>
      <c r="D720" s="120"/>
      <c r="E720" s="120"/>
      <c r="F720" s="91"/>
      <c r="G720" s="88"/>
      <c r="H720" s="94"/>
      <c r="I720" s="91"/>
      <c r="J720" s="94"/>
      <c r="K720" s="94"/>
      <c r="L720" s="94"/>
      <c r="M720" s="147"/>
      <c r="N720" s="147"/>
      <c r="O720" s="147"/>
      <c r="P720" s="147"/>
      <c r="Q720" s="94"/>
      <c r="R720" s="91"/>
      <c r="S720" s="148"/>
      <c r="T720" s="91"/>
      <c r="U720" s="101"/>
      <c r="V720" s="101"/>
      <c r="W720" s="101"/>
    </row>
    <row r="721">
      <c r="A721" s="94"/>
      <c r="B721" s="138"/>
      <c r="C721" s="120"/>
      <c r="D721" s="120"/>
      <c r="E721" s="120"/>
      <c r="F721" s="91"/>
      <c r="G721" s="88"/>
      <c r="H721" s="94"/>
      <c r="I721" s="91"/>
      <c r="J721" s="94"/>
      <c r="K721" s="94"/>
      <c r="L721" s="94"/>
      <c r="M721" s="147"/>
      <c r="N721" s="147"/>
      <c r="O721" s="147"/>
      <c r="P721" s="147"/>
      <c r="Q721" s="94"/>
      <c r="R721" s="91"/>
      <c r="S721" s="148"/>
      <c r="T721" s="91"/>
      <c r="U721" s="101"/>
      <c r="V721" s="101"/>
      <c r="W721" s="101"/>
    </row>
    <row r="722">
      <c r="A722" s="94"/>
      <c r="B722" s="138"/>
      <c r="C722" s="120"/>
      <c r="D722" s="120"/>
      <c r="E722" s="120"/>
      <c r="F722" s="91"/>
      <c r="G722" s="88"/>
      <c r="H722" s="94"/>
      <c r="I722" s="91"/>
      <c r="J722" s="94"/>
      <c r="K722" s="94"/>
      <c r="L722" s="94"/>
      <c r="M722" s="147"/>
      <c r="N722" s="147"/>
      <c r="O722" s="147"/>
      <c r="P722" s="147"/>
      <c r="Q722" s="94"/>
      <c r="R722" s="91"/>
      <c r="S722" s="148"/>
      <c r="T722" s="91"/>
      <c r="U722" s="101"/>
      <c r="V722" s="101"/>
      <c r="W722" s="101"/>
    </row>
    <row r="723">
      <c r="A723" s="94"/>
      <c r="B723" s="138"/>
      <c r="C723" s="120"/>
      <c r="D723" s="120"/>
      <c r="E723" s="120"/>
      <c r="F723" s="91"/>
      <c r="G723" s="88"/>
      <c r="H723" s="94"/>
      <c r="I723" s="91"/>
      <c r="J723" s="94"/>
      <c r="K723" s="94"/>
      <c r="L723" s="94"/>
      <c r="M723" s="147"/>
      <c r="N723" s="147"/>
      <c r="O723" s="147"/>
      <c r="P723" s="147"/>
      <c r="Q723" s="94"/>
      <c r="R723" s="91"/>
      <c r="S723" s="148"/>
      <c r="T723" s="91"/>
      <c r="U723" s="101"/>
      <c r="V723" s="101"/>
      <c r="W723" s="101"/>
    </row>
    <row r="724">
      <c r="A724" s="94"/>
      <c r="B724" s="138"/>
      <c r="C724" s="120"/>
      <c r="D724" s="120"/>
      <c r="E724" s="120"/>
      <c r="F724" s="91"/>
      <c r="G724" s="88"/>
      <c r="H724" s="94"/>
      <c r="I724" s="91"/>
      <c r="J724" s="94"/>
      <c r="K724" s="94"/>
      <c r="L724" s="94"/>
      <c r="M724" s="147"/>
      <c r="N724" s="147"/>
      <c r="O724" s="147"/>
      <c r="P724" s="147"/>
      <c r="Q724" s="94"/>
      <c r="R724" s="91"/>
      <c r="S724" s="148"/>
      <c r="T724" s="91"/>
      <c r="U724" s="101"/>
      <c r="V724" s="101"/>
      <c r="W724" s="101"/>
    </row>
    <row r="725">
      <c r="A725" s="94"/>
      <c r="B725" s="138"/>
      <c r="C725" s="120"/>
      <c r="D725" s="120"/>
      <c r="E725" s="120"/>
      <c r="F725" s="91"/>
      <c r="G725" s="88"/>
      <c r="H725" s="94"/>
      <c r="I725" s="91"/>
      <c r="J725" s="94"/>
      <c r="K725" s="94"/>
      <c r="L725" s="94"/>
      <c r="M725" s="147"/>
      <c r="N725" s="147"/>
      <c r="O725" s="147"/>
      <c r="P725" s="147"/>
      <c r="Q725" s="94"/>
      <c r="R725" s="91"/>
      <c r="S725" s="148"/>
      <c r="T725" s="91"/>
      <c r="U725" s="101"/>
      <c r="V725" s="101"/>
      <c r="W725" s="101"/>
    </row>
    <row r="726">
      <c r="A726" s="94"/>
      <c r="B726" s="138"/>
      <c r="C726" s="120"/>
      <c r="D726" s="120"/>
      <c r="E726" s="120"/>
      <c r="F726" s="91"/>
      <c r="G726" s="88"/>
      <c r="H726" s="94"/>
      <c r="I726" s="91"/>
      <c r="J726" s="94"/>
      <c r="K726" s="94"/>
      <c r="L726" s="94"/>
      <c r="M726" s="147"/>
      <c r="N726" s="147"/>
      <c r="O726" s="147"/>
      <c r="P726" s="147"/>
      <c r="Q726" s="94"/>
      <c r="R726" s="91"/>
      <c r="S726" s="148"/>
      <c r="T726" s="91"/>
      <c r="U726" s="101"/>
      <c r="V726" s="101"/>
      <c r="W726" s="101"/>
    </row>
    <row r="727">
      <c r="A727" s="94"/>
      <c r="B727" s="138"/>
      <c r="C727" s="120"/>
      <c r="D727" s="120"/>
      <c r="E727" s="120"/>
      <c r="F727" s="91"/>
      <c r="G727" s="88"/>
      <c r="H727" s="94"/>
      <c r="I727" s="91"/>
      <c r="J727" s="94"/>
      <c r="K727" s="94"/>
      <c r="L727" s="94"/>
      <c r="M727" s="147"/>
      <c r="N727" s="147"/>
      <c r="O727" s="147"/>
      <c r="P727" s="147"/>
      <c r="Q727" s="94"/>
      <c r="R727" s="91"/>
      <c r="S727" s="148"/>
      <c r="T727" s="91"/>
      <c r="U727" s="101"/>
      <c r="V727" s="101"/>
      <c r="W727" s="101"/>
    </row>
    <row r="728">
      <c r="A728" s="94"/>
      <c r="B728" s="138"/>
      <c r="C728" s="120"/>
      <c r="D728" s="120"/>
      <c r="E728" s="120"/>
      <c r="F728" s="91"/>
      <c r="G728" s="88"/>
      <c r="H728" s="94"/>
      <c r="I728" s="91"/>
      <c r="J728" s="94"/>
      <c r="K728" s="94"/>
      <c r="L728" s="94"/>
      <c r="M728" s="147"/>
      <c r="N728" s="147"/>
      <c r="O728" s="147"/>
      <c r="P728" s="147"/>
      <c r="Q728" s="94"/>
      <c r="R728" s="91"/>
      <c r="S728" s="148"/>
      <c r="T728" s="91"/>
      <c r="U728" s="101"/>
      <c r="V728" s="101"/>
      <c r="W728" s="101"/>
    </row>
    <row r="729">
      <c r="A729" s="94"/>
      <c r="B729" s="138"/>
      <c r="C729" s="120"/>
      <c r="D729" s="120"/>
      <c r="E729" s="120"/>
      <c r="F729" s="91"/>
      <c r="G729" s="88"/>
      <c r="H729" s="94"/>
      <c r="I729" s="91"/>
      <c r="J729" s="94"/>
      <c r="K729" s="94"/>
      <c r="L729" s="94"/>
      <c r="M729" s="147"/>
      <c r="N729" s="147"/>
      <c r="O729" s="147"/>
      <c r="P729" s="147"/>
      <c r="Q729" s="94"/>
      <c r="R729" s="91"/>
      <c r="S729" s="148"/>
      <c r="T729" s="91"/>
      <c r="U729" s="101"/>
      <c r="V729" s="101"/>
      <c r="W729" s="101"/>
    </row>
    <row r="730">
      <c r="A730" s="94"/>
      <c r="B730" s="138"/>
      <c r="C730" s="120"/>
      <c r="D730" s="120"/>
      <c r="E730" s="120"/>
      <c r="F730" s="91"/>
      <c r="G730" s="88"/>
      <c r="H730" s="94"/>
      <c r="I730" s="91"/>
      <c r="J730" s="94"/>
      <c r="K730" s="94"/>
      <c r="L730" s="94"/>
      <c r="M730" s="147"/>
      <c r="N730" s="147"/>
      <c r="O730" s="147"/>
      <c r="P730" s="147"/>
      <c r="Q730" s="94"/>
      <c r="R730" s="91"/>
      <c r="S730" s="148"/>
      <c r="T730" s="91"/>
      <c r="U730" s="101"/>
      <c r="V730" s="101"/>
      <c r="W730" s="101"/>
    </row>
    <row r="731">
      <c r="A731" s="94"/>
      <c r="B731" s="138"/>
      <c r="C731" s="120"/>
      <c r="D731" s="120"/>
      <c r="E731" s="120"/>
      <c r="F731" s="91"/>
      <c r="G731" s="88"/>
      <c r="H731" s="94"/>
      <c r="I731" s="91"/>
      <c r="J731" s="94"/>
      <c r="K731" s="94"/>
      <c r="L731" s="94"/>
      <c r="M731" s="147"/>
      <c r="N731" s="147"/>
      <c r="O731" s="147"/>
      <c r="P731" s="147"/>
      <c r="Q731" s="94"/>
      <c r="R731" s="91"/>
      <c r="S731" s="148"/>
      <c r="T731" s="91"/>
      <c r="U731" s="101"/>
      <c r="V731" s="101"/>
      <c r="W731" s="101"/>
    </row>
    <row r="732">
      <c r="A732" s="94"/>
      <c r="B732" s="138"/>
      <c r="C732" s="120"/>
      <c r="D732" s="120"/>
      <c r="E732" s="120"/>
      <c r="F732" s="91"/>
      <c r="G732" s="88"/>
      <c r="H732" s="94"/>
      <c r="I732" s="91"/>
      <c r="J732" s="94"/>
      <c r="K732" s="94"/>
      <c r="L732" s="94"/>
      <c r="M732" s="147"/>
      <c r="N732" s="147"/>
      <c r="O732" s="147"/>
      <c r="P732" s="147"/>
      <c r="Q732" s="94"/>
      <c r="R732" s="91"/>
      <c r="S732" s="148"/>
      <c r="T732" s="91"/>
      <c r="U732" s="101"/>
      <c r="V732" s="101"/>
      <c r="W732" s="101"/>
    </row>
    <row r="733">
      <c r="A733" s="94"/>
      <c r="B733" s="138"/>
      <c r="C733" s="120"/>
      <c r="D733" s="120"/>
      <c r="E733" s="120"/>
      <c r="F733" s="91"/>
      <c r="G733" s="88"/>
      <c r="H733" s="94"/>
      <c r="I733" s="91"/>
      <c r="J733" s="94"/>
      <c r="K733" s="94"/>
      <c r="L733" s="94"/>
      <c r="M733" s="147"/>
      <c r="N733" s="147"/>
      <c r="O733" s="147"/>
      <c r="P733" s="147"/>
      <c r="Q733" s="94"/>
      <c r="R733" s="91"/>
      <c r="S733" s="148"/>
      <c r="T733" s="91"/>
      <c r="U733" s="101"/>
      <c r="V733" s="101"/>
      <c r="W733" s="101"/>
    </row>
    <row r="734">
      <c r="A734" s="94"/>
      <c r="B734" s="138"/>
      <c r="C734" s="120"/>
      <c r="D734" s="120"/>
      <c r="E734" s="120"/>
      <c r="F734" s="91"/>
      <c r="G734" s="88"/>
      <c r="H734" s="94"/>
      <c r="I734" s="91"/>
      <c r="J734" s="94"/>
      <c r="K734" s="94"/>
      <c r="L734" s="94"/>
      <c r="M734" s="147"/>
      <c r="N734" s="147"/>
      <c r="O734" s="147"/>
      <c r="P734" s="147"/>
      <c r="Q734" s="94"/>
      <c r="R734" s="91"/>
      <c r="S734" s="148"/>
      <c r="T734" s="91"/>
      <c r="U734" s="101"/>
      <c r="V734" s="101"/>
      <c r="W734" s="101"/>
    </row>
    <row r="735">
      <c r="A735" s="94"/>
      <c r="B735" s="138"/>
      <c r="C735" s="120"/>
      <c r="D735" s="120"/>
      <c r="E735" s="120"/>
      <c r="F735" s="91"/>
      <c r="G735" s="88"/>
      <c r="H735" s="94"/>
      <c r="I735" s="91"/>
      <c r="J735" s="94"/>
      <c r="K735" s="94"/>
      <c r="L735" s="94"/>
      <c r="M735" s="147"/>
      <c r="N735" s="147"/>
      <c r="O735" s="147"/>
      <c r="P735" s="147"/>
      <c r="Q735" s="94"/>
      <c r="R735" s="91"/>
      <c r="S735" s="148"/>
      <c r="T735" s="91"/>
      <c r="U735" s="101"/>
      <c r="V735" s="101"/>
      <c r="W735" s="101"/>
    </row>
    <row r="736">
      <c r="A736" s="94"/>
      <c r="B736" s="138"/>
      <c r="C736" s="120"/>
      <c r="D736" s="120"/>
      <c r="E736" s="120"/>
      <c r="F736" s="91"/>
      <c r="G736" s="88"/>
      <c r="H736" s="94"/>
      <c r="I736" s="91"/>
      <c r="J736" s="94"/>
      <c r="K736" s="94"/>
      <c r="L736" s="94"/>
      <c r="M736" s="147"/>
      <c r="N736" s="147"/>
      <c r="O736" s="147"/>
      <c r="P736" s="147"/>
      <c r="Q736" s="94"/>
      <c r="R736" s="91"/>
      <c r="S736" s="148"/>
      <c r="T736" s="91"/>
      <c r="U736" s="101"/>
      <c r="V736" s="101"/>
      <c r="W736" s="101"/>
    </row>
    <row r="737">
      <c r="A737" s="94"/>
      <c r="B737" s="138"/>
      <c r="C737" s="120"/>
      <c r="D737" s="120"/>
      <c r="E737" s="120"/>
      <c r="F737" s="91"/>
      <c r="G737" s="88"/>
      <c r="H737" s="94"/>
      <c r="I737" s="91"/>
      <c r="J737" s="94"/>
      <c r="K737" s="94"/>
      <c r="L737" s="94"/>
      <c r="M737" s="147"/>
      <c r="N737" s="147"/>
      <c r="O737" s="147"/>
      <c r="P737" s="147"/>
      <c r="Q737" s="94"/>
      <c r="R737" s="91"/>
      <c r="S737" s="148"/>
      <c r="T737" s="91"/>
      <c r="U737" s="101"/>
      <c r="V737" s="101"/>
      <c r="W737" s="101"/>
    </row>
    <row r="738">
      <c r="A738" s="94"/>
      <c r="B738" s="138"/>
      <c r="C738" s="120"/>
      <c r="D738" s="120"/>
      <c r="E738" s="120"/>
      <c r="F738" s="91"/>
      <c r="G738" s="88"/>
      <c r="H738" s="94"/>
      <c r="I738" s="91"/>
      <c r="J738" s="94"/>
      <c r="K738" s="94"/>
      <c r="L738" s="94"/>
      <c r="M738" s="147"/>
      <c r="N738" s="147"/>
      <c r="O738" s="147"/>
      <c r="P738" s="147"/>
      <c r="Q738" s="94"/>
      <c r="R738" s="91"/>
      <c r="S738" s="148"/>
      <c r="T738" s="91"/>
      <c r="U738" s="101"/>
      <c r="V738" s="101"/>
      <c r="W738" s="101"/>
    </row>
    <row r="739">
      <c r="A739" s="94"/>
      <c r="B739" s="138"/>
      <c r="C739" s="120"/>
      <c r="D739" s="120"/>
      <c r="E739" s="120"/>
      <c r="F739" s="91"/>
      <c r="G739" s="88"/>
      <c r="H739" s="94"/>
      <c r="I739" s="91"/>
      <c r="J739" s="94"/>
      <c r="K739" s="94"/>
      <c r="L739" s="94"/>
      <c r="M739" s="147"/>
      <c r="N739" s="147"/>
      <c r="O739" s="147"/>
      <c r="P739" s="147"/>
      <c r="Q739" s="94"/>
      <c r="R739" s="91"/>
      <c r="S739" s="148"/>
      <c r="T739" s="91"/>
      <c r="U739" s="101"/>
      <c r="V739" s="101"/>
      <c r="W739" s="101"/>
    </row>
    <row r="740">
      <c r="A740" s="94"/>
      <c r="B740" s="138"/>
      <c r="C740" s="120"/>
      <c r="D740" s="120"/>
      <c r="E740" s="120"/>
      <c r="F740" s="91"/>
      <c r="G740" s="88"/>
      <c r="H740" s="94"/>
      <c r="I740" s="91"/>
      <c r="J740" s="94"/>
      <c r="K740" s="94"/>
      <c r="L740" s="94"/>
      <c r="M740" s="147"/>
      <c r="N740" s="147"/>
      <c r="O740" s="147"/>
      <c r="P740" s="147"/>
      <c r="Q740" s="94"/>
      <c r="R740" s="91"/>
      <c r="S740" s="148"/>
      <c r="T740" s="91"/>
      <c r="U740" s="101"/>
      <c r="V740" s="101"/>
      <c r="W740" s="101"/>
    </row>
    <row r="741">
      <c r="A741" s="94"/>
      <c r="B741" s="138"/>
      <c r="C741" s="120"/>
      <c r="D741" s="120"/>
      <c r="E741" s="120"/>
      <c r="F741" s="91"/>
      <c r="G741" s="88"/>
      <c r="H741" s="94"/>
      <c r="I741" s="91"/>
      <c r="J741" s="94"/>
      <c r="K741" s="94"/>
      <c r="L741" s="94"/>
      <c r="M741" s="147"/>
      <c r="N741" s="147"/>
      <c r="O741" s="147"/>
      <c r="P741" s="147"/>
      <c r="Q741" s="94"/>
      <c r="R741" s="91"/>
      <c r="S741" s="148"/>
      <c r="T741" s="91"/>
      <c r="U741" s="101"/>
      <c r="V741" s="101"/>
      <c r="W741" s="101"/>
    </row>
    <row r="742">
      <c r="A742" s="94"/>
      <c r="B742" s="138"/>
      <c r="C742" s="120"/>
      <c r="D742" s="120"/>
      <c r="E742" s="120"/>
      <c r="F742" s="91"/>
      <c r="G742" s="88"/>
      <c r="H742" s="94"/>
      <c r="I742" s="91"/>
      <c r="J742" s="94"/>
      <c r="K742" s="94"/>
      <c r="L742" s="94"/>
      <c r="M742" s="147"/>
      <c r="N742" s="147"/>
      <c r="O742" s="147"/>
      <c r="P742" s="147"/>
      <c r="Q742" s="94"/>
      <c r="R742" s="91"/>
      <c r="S742" s="148"/>
      <c r="T742" s="91"/>
      <c r="U742" s="101"/>
      <c r="V742" s="101"/>
      <c r="W742" s="101"/>
    </row>
    <row r="743">
      <c r="A743" s="94"/>
      <c r="B743" s="138"/>
      <c r="C743" s="120"/>
      <c r="D743" s="120"/>
      <c r="E743" s="120"/>
      <c r="F743" s="91"/>
      <c r="G743" s="88"/>
      <c r="H743" s="94"/>
      <c r="I743" s="91"/>
      <c r="J743" s="94"/>
      <c r="K743" s="94"/>
      <c r="L743" s="94"/>
      <c r="M743" s="147"/>
      <c r="N743" s="147"/>
      <c r="O743" s="147"/>
      <c r="P743" s="147"/>
      <c r="Q743" s="94"/>
      <c r="R743" s="91"/>
      <c r="S743" s="148"/>
      <c r="T743" s="91"/>
      <c r="U743" s="101"/>
      <c r="V743" s="101"/>
      <c r="W743" s="101"/>
    </row>
    <row r="744">
      <c r="A744" s="94"/>
      <c r="B744" s="138"/>
      <c r="C744" s="120"/>
      <c r="D744" s="120"/>
      <c r="E744" s="120"/>
      <c r="F744" s="91"/>
      <c r="G744" s="88"/>
      <c r="H744" s="94"/>
      <c r="I744" s="91"/>
      <c r="J744" s="94"/>
      <c r="K744" s="94"/>
      <c r="L744" s="94"/>
      <c r="M744" s="147"/>
      <c r="N744" s="147"/>
      <c r="O744" s="147"/>
      <c r="P744" s="147"/>
      <c r="Q744" s="94"/>
      <c r="R744" s="91"/>
      <c r="S744" s="148"/>
      <c r="T744" s="91"/>
      <c r="U744" s="101"/>
      <c r="V744" s="101"/>
      <c r="W744" s="101"/>
    </row>
    <row r="745">
      <c r="A745" s="94"/>
      <c r="B745" s="138"/>
      <c r="C745" s="120"/>
      <c r="D745" s="120"/>
      <c r="E745" s="120"/>
      <c r="F745" s="91"/>
      <c r="G745" s="88"/>
      <c r="H745" s="94"/>
      <c r="I745" s="91"/>
      <c r="J745" s="94"/>
      <c r="K745" s="94"/>
      <c r="L745" s="94"/>
      <c r="M745" s="147"/>
      <c r="N745" s="147"/>
      <c r="O745" s="147"/>
      <c r="P745" s="147"/>
      <c r="Q745" s="94"/>
      <c r="R745" s="91"/>
      <c r="S745" s="148"/>
      <c r="T745" s="91"/>
      <c r="U745" s="101"/>
      <c r="V745" s="101"/>
      <c r="W745" s="101"/>
    </row>
    <row r="746">
      <c r="A746" s="94"/>
      <c r="B746" s="138"/>
      <c r="C746" s="120"/>
      <c r="D746" s="120"/>
      <c r="E746" s="120"/>
      <c r="F746" s="91"/>
      <c r="G746" s="88"/>
      <c r="H746" s="94"/>
      <c r="I746" s="91"/>
      <c r="J746" s="94"/>
      <c r="K746" s="94"/>
      <c r="L746" s="94"/>
      <c r="M746" s="147"/>
      <c r="N746" s="147"/>
      <c r="O746" s="147"/>
      <c r="P746" s="147"/>
      <c r="Q746" s="94"/>
      <c r="R746" s="91"/>
      <c r="S746" s="148"/>
      <c r="T746" s="91"/>
      <c r="U746" s="101"/>
      <c r="V746" s="101"/>
      <c r="W746" s="101"/>
    </row>
    <row r="747">
      <c r="A747" s="94"/>
      <c r="B747" s="138"/>
      <c r="C747" s="120"/>
      <c r="D747" s="120"/>
      <c r="E747" s="120"/>
      <c r="F747" s="91"/>
      <c r="G747" s="88"/>
      <c r="H747" s="94"/>
      <c r="I747" s="91"/>
      <c r="J747" s="94"/>
      <c r="K747" s="94"/>
      <c r="L747" s="94"/>
      <c r="M747" s="147"/>
      <c r="N747" s="147"/>
      <c r="O747" s="147"/>
      <c r="P747" s="147"/>
      <c r="Q747" s="94"/>
      <c r="R747" s="91"/>
      <c r="S747" s="148"/>
      <c r="T747" s="91"/>
      <c r="U747" s="101"/>
      <c r="V747" s="101"/>
      <c r="W747" s="101"/>
    </row>
    <row r="748">
      <c r="A748" s="94"/>
      <c r="B748" s="138"/>
      <c r="C748" s="120"/>
      <c r="D748" s="120"/>
      <c r="E748" s="120"/>
      <c r="F748" s="91"/>
      <c r="G748" s="88"/>
      <c r="H748" s="94"/>
      <c r="I748" s="91"/>
      <c r="J748" s="94"/>
      <c r="K748" s="94"/>
      <c r="L748" s="94"/>
      <c r="M748" s="147"/>
      <c r="N748" s="147"/>
      <c r="O748" s="147"/>
      <c r="P748" s="147"/>
      <c r="Q748" s="94"/>
      <c r="R748" s="91"/>
      <c r="S748" s="148"/>
      <c r="T748" s="91"/>
      <c r="U748" s="101"/>
      <c r="V748" s="101"/>
      <c r="W748" s="101"/>
    </row>
    <row r="749">
      <c r="A749" s="94"/>
      <c r="B749" s="138"/>
      <c r="C749" s="120"/>
      <c r="D749" s="120"/>
      <c r="E749" s="120"/>
      <c r="F749" s="91"/>
      <c r="G749" s="88"/>
      <c r="H749" s="94"/>
      <c r="I749" s="91"/>
      <c r="J749" s="94"/>
      <c r="K749" s="94"/>
      <c r="L749" s="94"/>
      <c r="M749" s="147"/>
      <c r="N749" s="147"/>
      <c r="O749" s="147"/>
      <c r="P749" s="147"/>
      <c r="Q749" s="94"/>
      <c r="R749" s="91"/>
      <c r="S749" s="148"/>
      <c r="T749" s="91"/>
      <c r="U749" s="101"/>
      <c r="V749" s="101"/>
      <c r="W749" s="101"/>
    </row>
    <row r="750">
      <c r="A750" s="94"/>
      <c r="B750" s="138"/>
      <c r="C750" s="120"/>
      <c r="D750" s="120"/>
      <c r="E750" s="120"/>
      <c r="F750" s="91"/>
      <c r="G750" s="88"/>
      <c r="H750" s="94"/>
      <c r="I750" s="91"/>
      <c r="J750" s="94"/>
      <c r="K750" s="94"/>
      <c r="L750" s="94"/>
      <c r="M750" s="147"/>
      <c r="N750" s="147"/>
      <c r="O750" s="147"/>
      <c r="P750" s="147"/>
      <c r="Q750" s="94"/>
      <c r="R750" s="91"/>
      <c r="S750" s="148"/>
      <c r="T750" s="91"/>
      <c r="U750" s="101"/>
      <c r="V750" s="101"/>
      <c r="W750" s="101"/>
    </row>
    <row r="751">
      <c r="A751" s="94"/>
      <c r="B751" s="138"/>
      <c r="C751" s="120"/>
      <c r="D751" s="120"/>
      <c r="E751" s="120"/>
      <c r="F751" s="91"/>
      <c r="G751" s="88"/>
      <c r="H751" s="94"/>
      <c r="I751" s="91"/>
      <c r="J751" s="94"/>
      <c r="K751" s="94"/>
      <c r="L751" s="94"/>
      <c r="M751" s="147"/>
      <c r="N751" s="147"/>
      <c r="O751" s="147"/>
      <c r="P751" s="147"/>
      <c r="Q751" s="94"/>
      <c r="R751" s="91"/>
      <c r="S751" s="148"/>
      <c r="T751" s="91"/>
      <c r="U751" s="101"/>
      <c r="V751" s="101"/>
      <c r="W751" s="101"/>
    </row>
    <row r="752">
      <c r="A752" s="94"/>
      <c r="B752" s="138"/>
      <c r="C752" s="120"/>
      <c r="D752" s="120"/>
      <c r="E752" s="120"/>
      <c r="F752" s="91"/>
      <c r="G752" s="88"/>
      <c r="H752" s="94"/>
      <c r="I752" s="91"/>
      <c r="J752" s="94"/>
      <c r="K752" s="94"/>
      <c r="L752" s="94"/>
      <c r="M752" s="147"/>
      <c r="N752" s="147"/>
      <c r="O752" s="147"/>
      <c r="P752" s="147"/>
      <c r="Q752" s="94"/>
      <c r="R752" s="91"/>
      <c r="S752" s="148"/>
      <c r="T752" s="91"/>
      <c r="U752" s="101"/>
      <c r="V752" s="101"/>
      <c r="W752" s="101"/>
    </row>
    <row r="753">
      <c r="A753" s="94"/>
      <c r="B753" s="138"/>
      <c r="C753" s="120"/>
      <c r="D753" s="120"/>
      <c r="E753" s="120"/>
      <c r="F753" s="91"/>
      <c r="G753" s="88"/>
      <c r="H753" s="94"/>
      <c r="I753" s="91"/>
      <c r="J753" s="94"/>
      <c r="K753" s="94"/>
      <c r="L753" s="94"/>
      <c r="M753" s="147"/>
      <c r="N753" s="147"/>
      <c r="O753" s="147"/>
      <c r="P753" s="147"/>
      <c r="Q753" s="94"/>
      <c r="R753" s="91"/>
      <c r="S753" s="148"/>
      <c r="T753" s="91"/>
      <c r="U753" s="101"/>
      <c r="V753" s="101"/>
      <c r="W753" s="101"/>
    </row>
    <row r="754">
      <c r="A754" s="94"/>
      <c r="B754" s="138"/>
      <c r="C754" s="120"/>
      <c r="D754" s="120"/>
      <c r="E754" s="120"/>
      <c r="F754" s="91"/>
      <c r="G754" s="88"/>
      <c r="H754" s="94"/>
      <c r="I754" s="91"/>
      <c r="J754" s="94"/>
      <c r="K754" s="94"/>
      <c r="L754" s="94"/>
      <c r="M754" s="147"/>
      <c r="N754" s="147"/>
      <c r="O754" s="147"/>
      <c r="P754" s="147"/>
      <c r="Q754" s="94"/>
      <c r="R754" s="91"/>
      <c r="S754" s="148"/>
      <c r="T754" s="91"/>
      <c r="U754" s="101"/>
      <c r="V754" s="101"/>
      <c r="W754" s="101"/>
    </row>
    <row r="755">
      <c r="A755" s="94"/>
      <c r="B755" s="138"/>
      <c r="C755" s="120"/>
      <c r="D755" s="120"/>
      <c r="E755" s="120"/>
      <c r="F755" s="91"/>
      <c r="G755" s="88"/>
      <c r="H755" s="94"/>
      <c r="I755" s="91"/>
      <c r="J755" s="94"/>
      <c r="K755" s="94"/>
      <c r="L755" s="94"/>
      <c r="M755" s="147"/>
      <c r="N755" s="147"/>
      <c r="O755" s="147"/>
      <c r="P755" s="147"/>
      <c r="Q755" s="94"/>
      <c r="R755" s="91"/>
      <c r="S755" s="148"/>
      <c r="T755" s="91"/>
      <c r="U755" s="101"/>
      <c r="V755" s="101"/>
      <c r="W755" s="101"/>
    </row>
    <row r="756">
      <c r="A756" s="94"/>
      <c r="B756" s="138"/>
      <c r="C756" s="120"/>
      <c r="D756" s="120"/>
      <c r="E756" s="120"/>
      <c r="F756" s="91"/>
      <c r="G756" s="88"/>
      <c r="H756" s="94"/>
      <c r="I756" s="91"/>
      <c r="J756" s="94"/>
      <c r="K756" s="94"/>
      <c r="L756" s="94"/>
      <c r="M756" s="147"/>
      <c r="N756" s="147"/>
      <c r="O756" s="147"/>
      <c r="P756" s="147"/>
      <c r="Q756" s="94"/>
      <c r="R756" s="91"/>
      <c r="S756" s="148"/>
      <c r="T756" s="91"/>
      <c r="U756" s="101"/>
      <c r="V756" s="101"/>
      <c r="W756" s="101"/>
    </row>
    <row r="757">
      <c r="A757" s="94"/>
      <c r="B757" s="138"/>
      <c r="C757" s="120"/>
      <c r="D757" s="120"/>
      <c r="E757" s="120"/>
      <c r="F757" s="91"/>
      <c r="G757" s="88"/>
      <c r="H757" s="94"/>
      <c r="I757" s="91"/>
      <c r="J757" s="94"/>
      <c r="K757" s="94"/>
      <c r="L757" s="94"/>
      <c r="M757" s="147"/>
      <c r="N757" s="147"/>
      <c r="O757" s="147"/>
      <c r="P757" s="147"/>
      <c r="Q757" s="94"/>
      <c r="R757" s="91"/>
      <c r="S757" s="148"/>
      <c r="T757" s="91"/>
      <c r="U757" s="101"/>
      <c r="V757" s="101"/>
      <c r="W757" s="101"/>
    </row>
    <row r="758">
      <c r="A758" s="94"/>
      <c r="B758" s="138"/>
      <c r="C758" s="120"/>
      <c r="D758" s="120"/>
      <c r="E758" s="120"/>
      <c r="F758" s="91"/>
      <c r="G758" s="88"/>
      <c r="H758" s="94"/>
      <c r="I758" s="91"/>
      <c r="J758" s="94"/>
      <c r="K758" s="94"/>
      <c r="L758" s="94"/>
      <c r="M758" s="147"/>
      <c r="N758" s="147"/>
      <c r="O758" s="147"/>
      <c r="P758" s="147"/>
      <c r="Q758" s="94"/>
      <c r="R758" s="91"/>
      <c r="S758" s="148"/>
      <c r="T758" s="91"/>
      <c r="U758" s="101"/>
      <c r="V758" s="101"/>
      <c r="W758" s="101"/>
    </row>
    <row r="759">
      <c r="A759" s="94"/>
      <c r="B759" s="138"/>
      <c r="C759" s="120"/>
      <c r="D759" s="120"/>
      <c r="E759" s="120"/>
      <c r="F759" s="91"/>
      <c r="G759" s="88"/>
      <c r="H759" s="94"/>
      <c r="I759" s="91"/>
      <c r="J759" s="94"/>
      <c r="K759" s="94"/>
      <c r="L759" s="94"/>
      <c r="M759" s="147"/>
      <c r="N759" s="147"/>
      <c r="O759" s="147"/>
      <c r="P759" s="147"/>
      <c r="Q759" s="94"/>
      <c r="R759" s="91"/>
      <c r="S759" s="148"/>
      <c r="T759" s="91"/>
      <c r="U759" s="101"/>
      <c r="V759" s="101"/>
      <c r="W759" s="101"/>
    </row>
    <row r="760">
      <c r="A760" s="94"/>
      <c r="B760" s="138"/>
      <c r="C760" s="120"/>
      <c r="D760" s="120"/>
      <c r="E760" s="120"/>
      <c r="F760" s="91"/>
      <c r="G760" s="88"/>
      <c r="H760" s="94"/>
      <c r="I760" s="91"/>
      <c r="J760" s="94"/>
      <c r="K760" s="94"/>
      <c r="L760" s="94"/>
      <c r="M760" s="147"/>
      <c r="N760" s="147"/>
      <c r="O760" s="147"/>
      <c r="P760" s="147"/>
      <c r="Q760" s="94"/>
      <c r="R760" s="91"/>
      <c r="S760" s="148"/>
      <c r="T760" s="91"/>
      <c r="U760" s="101"/>
      <c r="V760" s="101"/>
      <c r="W760" s="101"/>
    </row>
    <row r="761">
      <c r="A761" s="94"/>
      <c r="B761" s="138"/>
      <c r="C761" s="120"/>
      <c r="D761" s="120"/>
      <c r="E761" s="120"/>
      <c r="F761" s="91"/>
      <c r="G761" s="88"/>
      <c r="H761" s="94"/>
      <c r="I761" s="91"/>
      <c r="J761" s="94"/>
      <c r="K761" s="94"/>
      <c r="L761" s="94"/>
      <c r="M761" s="147"/>
      <c r="N761" s="147"/>
      <c r="O761" s="147"/>
      <c r="P761" s="147"/>
      <c r="Q761" s="94"/>
      <c r="R761" s="91"/>
      <c r="S761" s="148"/>
      <c r="T761" s="91"/>
      <c r="U761" s="101"/>
      <c r="V761" s="101"/>
      <c r="W761" s="101"/>
    </row>
    <row r="762">
      <c r="A762" s="94"/>
      <c r="B762" s="138"/>
      <c r="C762" s="120"/>
      <c r="D762" s="120"/>
      <c r="E762" s="120"/>
      <c r="F762" s="91"/>
      <c r="G762" s="88"/>
      <c r="H762" s="94"/>
      <c r="I762" s="91"/>
      <c r="J762" s="94"/>
      <c r="K762" s="94"/>
      <c r="L762" s="94"/>
      <c r="M762" s="147"/>
      <c r="N762" s="147"/>
      <c r="O762" s="147"/>
      <c r="P762" s="147"/>
      <c r="Q762" s="94"/>
      <c r="R762" s="91"/>
      <c r="S762" s="148"/>
      <c r="T762" s="91"/>
      <c r="U762" s="101"/>
      <c r="V762" s="101"/>
      <c r="W762" s="101"/>
    </row>
    <row r="763">
      <c r="A763" s="94"/>
      <c r="B763" s="138"/>
      <c r="C763" s="120"/>
      <c r="D763" s="120"/>
      <c r="E763" s="120"/>
      <c r="F763" s="91"/>
      <c r="G763" s="88"/>
      <c r="H763" s="94"/>
      <c r="I763" s="91"/>
      <c r="J763" s="94"/>
      <c r="K763" s="94"/>
      <c r="L763" s="94"/>
      <c r="M763" s="147"/>
      <c r="N763" s="147"/>
      <c r="O763" s="147"/>
      <c r="P763" s="147"/>
      <c r="Q763" s="94"/>
      <c r="R763" s="91"/>
      <c r="S763" s="148"/>
      <c r="T763" s="91"/>
      <c r="U763" s="101"/>
      <c r="V763" s="101"/>
      <c r="W763" s="101"/>
    </row>
    <row r="764">
      <c r="A764" s="94"/>
      <c r="B764" s="138"/>
      <c r="C764" s="120"/>
      <c r="D764" s="120"/>
      <c r="E764" s="120"/>
      <c r="F764" s="91"/>
      <c r="G764" s="88"/>
      <c r="H764" s="94"/>
      <c r="I764" s="91"/>
      <c r="J764" s="94"/>
      <c r="K764" s="94"/>
      <c r="L764" s="94"/>
      <c r="M764" s="147"/>
      <c r="N764" s="147"/>
      <c r="O764" s="147"/>
      <c r="P764" s="147"/>
      <c r="Q764" s="94"/>
      <c r="R764" s="91"/>
      <c r="S764" s="148"/>
      <c r="T764" s="91"/>
      <c r="U764" s="101"/>
      <c r="V764" s="101"/>
      <c r="W764" s="101"/>
    </row>
    <row r="765">
      <c r="A765" s="94"/>
      <c r="B765" s="138"/>
      <c r="C765" s="120"/>
      <c r="D765" s="120"/>
      <c r="E765" s="120"/>
      <c r="F765" s="91"/>
      <c r="G765" s="88"/>
      <c r="H765" s="94"/>
      <c r="I765" s="91"/>
      <c r="J765" s="94"/>
      <c r="K765" s="94"/>
      <c r="L765" s="94"/>
      <c r="M765" s="147"/>
      <c r="N765" s="147"/>
      <c r="O765" s="147"/>
      <c r="P765" s="147"/>
      <c r="Q765" s="94"/>
      <c r="R765" s="91"/>
      <c r="S765" s="148"/>
      <c r="T765" s="91"/>
      <c r="U765" s="101"/>
      <c r="V765" s="101"/>
      <c r="W765" s="101"/>
    </row>
    <row r="766">
      <c r="A766" s="94"/>
      <c r="B766" s="138"/>
      <c r="C766" s="120"/>
      <c r="D766" s="120"/>
      <c r="E766" s="120"/>
      <c r="F766" s="91"/>
      <c r="G766" s="88"/>
      <c r="H766" s="94"/>
      <c r="I766" s="91"/>
      <c r="J766" s="94"/>
      <c r="K766" s="94"/>
      <c r="L766" s="94"/>
      <c r="M766" s="147"/>
      <c r="N766" s="147"/>
      <c r="O766" s="147"/>
      <c r="P766" s="147"/>
      <c r="Q766" s="94"/>
      <c r="R766" s="91"/>
      <c r="S766" s="148"/>
      <c r="T766" s="91"/>
      <c r="U766" s="101"/>
      <c r="V766" s="101"/>
      <c r="W766" s="101"/>
    </row>
    <row r="767">
      <c r="A767" s="94"/>
      <c r="B767" s="138"/>
      <c r="C767" s="120"/>
      <c r="D767" s="120"/>
      <c r="E767" s="120"/>
      <c r="F767" s="91"/>
      <c r="G767" s="88"/>
      <c r="H767" s="94"/>
      <c r="I767" s="91"/>
      <c r="J767" s="94"/>
      <c r="K767" s="94"/>
      <c r="L767" s="94"/>
      <c r="M767" s="147"/>
      <c r="N767" s="147"/>
      <c r="O767" s="147"/>
      <c r="P767" s="147"/>
      <c r="Q767" s="94"/>
      <c r="R767" s="91"/>
      <c r="S767" s="148"/>
      <c r="T767" s="91"/>
      <c r="U767" s="101"/>
      <c r="V767" s="101"/>
      <c r="W767" s="101"/>
    </row>
    <row r="768">
      <c r="A768" s="94"/>
      <c r="B768" s="138"/>
      <c r="C768" s="120"/>
      <c r="D768" s="120"/>
      <c r="E768" s="120"/>
      <c r="F768" s="91"/>
      <c r="G768" s="88"/>
      <c r="H768" s="94"/>
      <c r="I768" s="91"/>
      <c r="J768" s="94"/>
      <c r="K768" s="94"/>
      <c r="L768" s="94"/>
      <c r="M768" s="147"/>
      <c r="N768" s="147"/>
      <c r="O768" s="147"/>
      <c r="P768" s="147"/>
      <c r="Q768" s="94"/>
      <c r="R768" s="91"/>
      <c r="S768" s="148"/>
      <c r="T768" s="91"/>
      <c r="U768" s="101"/>
      <c r="V768" s="101"/>
      <c r="W768" s="101"/>
    </row>
    <row r="769">
      <c r="A769" s="94"/>
      <c r="B769" s="138"/>
      <c r="C769" s="120"/>
      <c r="D769" s="120"/>
      <c r="E769" s="120"/>
      <c r="F769" s="91"/>
      <c r="G769" s="88"/>
      <c r="H769" s="94"/>
      <c r="I769" s="91"/>
      <c r="J769" s="94"/>
      <c r="K769" s="94"/>
      <c r="L769" s="94"/>
      <c r="M769" s="147"/>
      <c r="N769" s="147"/>
      <c r="O769" s="147"/>
      <c r="P769" s="147"/>
      <c r="Q769" s="94"/>
      <c r="R769" s="91"/>
      <c r="S769" s="148"/>
      <c r="T769" s="91"/>
      <c r="U769" s="101"/>
      <c r="V769" s="101"/>
      <c r="W769" s="101"/>
    </row>
    <row r="770">
      <c r="A770" s="94"/>
      <c r="B770" s="138"/>
      <c r="C770" s="120"/>
      <c r="D770" s="120"/>
      <c r="E770" s="120"/>
      <c r="F770" s="91"/>
      <c r="G770" s="88"/>
      <c r="H770" s="94"/>
      <c r="I770" s="91"/>
      <c r="J770" s="94"/>
      <c r="K770" s="94"/>
      <c r="L770" s="94"/>
      <c r="M770" s="147"/>
      <c r="N770" s="147"/>
      <c r="O770" s="147"/>
      <c r="P770" s="147"/>
      <c r="Q770" s="94"/>
      <c r="R770" s="91"/>
      <c r="S770" s="148"/>
      <c r="T770" s="91"/>
      <c r="U770" s="101"/>
      <c r="V770" s="101"/>
      <c r="W770" s="101"/>
    </row>
    <row r="771">
      <c r="A771" s="94"/>
      <c r="B771" s="138"/>
      <c r="C771" s="120"/>
      <c r="D771" s="120"/>
      <c r="E771" s="120"/>
      <c r="F771" s="91"/>
      <c r="G771" s="88"/>
      <c r="H771" s="94"/>
      <c r="I771" s="91"/>
      <c r="J771" s="94"/>
      <c r="K771" s="94"/>
      <c r="L771" s="94"/>
      <c r="M771" s="147"/>
      <c r="N771" s="147"/>
      <c r="O771" s="147"/>
      <c r="P771" s="147"/>
      <c r="Q771" s="94"/>
      <c r="R771" s="91"/>
      <c r="S771" s="148"/>
      <c r="T771" s="91"/>
      <c r="U771" s="101"/>
      <c r="V771" s="101"/>
      <c r="W771" s="101"/>
    </row>
    <row r="772">
      <c r="A772" s="94"/>
      <c r="B772" s="138"/>
      <c r="C772" s="120"/>
      <c r="D772" s="120"/>
      <c r="E772" s="120"/>
      <c r="F772" s="91"/>
      <c r="G772" s="88"/>
      <c r="H772" s="94"/>
      <c r="I772" s="91"/>
      <c r="J772" s="94"/>
      <c r="K772" s="94"/>
      <c r="L772" s="94"/>
      <c r="M772" s="147"/>
      <c r="N772" s="147"/>
      <c r="O772" s="147"/>
      <c r="P772" s="147"/>
      <c r="Q772" s="94"/>
      <c r="R772" s="91"/>
      <c r="S772" s="148"/>
      <c r="T772" s="91"/>
      <c r="U772" s="101"/>
      <c r="V772" s="101"/>
      <c r="W772" s="101"/>
    </row>
    <row r="773">
      <c r="A773" s="94"/>
      <c r="B773" s="138"/>
      <c r="C773" s="120"/>
      <c r="D773" s="120"/>
      <c r="E773" s="120"/>
      <c r="F773" s="91"/>
      <c r="G773" s="88"/>
      <c r="H773" s="94"/>
      <c r="I773" s="91"/>
      <c r="J773" s="94"/>
      <c r="K773" s="94"/>
      <c r="L773" s="94"/>
      <c r="M773" s="147"/>
      <c r="N773" s="147"/>
      <c r="O773" s="147"/>
      <c r="P773" s="147"/>
      <c r="Q773" s="94"/>
      <c r="R773" s="91"/>
      <c r="S773" s="148"/>
      <c r="T773" s="91"/>
      <c r="U773" s="101"/>
      <c r="V773" s="101"/>
      <c r="W773" s="101"/>
    </row>
    <row r="774">
      <c r="A774" s="94"/>
      <c r="B774" s="138"/>
      <c r="C774" s="120"/>
      <c r="D774" s="120"/>
      <c r="E774" s="120"/>
      <c r="F774" s="91"/>
      <c r="G774" s="88"/>
      <c r="H774" s="94"/>
      <c r="I774" s="91"/>
      <c r="J774" s="94"/>
      <c r="K774" s="94"/>
      <c r="L774" s="94"/>
      <c r="M774" s="147"/>
      <c r="N774" s="147"/>
      <c r="O774" s="147"/>
      <c r="P774" s="147"/>
      <c r="Q774" s="94"/>
      <c r="R774" s="91"/>
      <c r="S774" s="148"/>
      <c r="T774" s="91"/>
      <c r="U774" s="101"/>
      <c r="V774" s="101"/>
      <c r="W774" s="101"/>
    </row>
    <row r="775">
      <c r="A775" s="94"/>
      <c r="B775" s="138"/>
      <c r="C775" s="120"/>
      <c r="D775" s="120"/>
      <c r="E775" s="120"/>
      <c r="F775" s="91"/>
      <c r="G775" s="88"/>
      <c r="H775" s="94"/>
      <c r="I775" s="91"/>
      <c r="J775" s="94"/>
      <c r="K775" s="94"/>
      <c r="L775" s="94"/>
      <c r="M775" s="147"/>
      <c r="N775" s="147"/>
      <c r="O775" s="147"/>
      <c r="P775" s="147"/>
      <c r="Q775" s="94"/>
      <c r="R775" s="91"/>
      <c r="S775" s="148"/>
      <c r="T775" s="91"/>
      <c r="U775" s="101"/>
      <c r="V775" s="101"/>
      <c r="W775" s="101"/>
    </row>
    <row r="776">
      <c r="A776" s="94"/>
      <c r="B776" s="138"/>
      <c r="C776" s="120"/>
      <c r="D776" s="120"/>
      <c r="E776" s="120"/>
      <c r="F776" s="91"/>
      <c r="G776" s="88"/>
      <c r="H776" s="94"/>
      <c r="I776" s="91"/>
      <c r="J776" s="94"/>
      <c r="K776" s="94"/>
      <c r="L776" s="94"/>
      <c r="M776" s="147"/>
      <c r="N776" s="147"/>
      <c r="O776" s="147"/>
      <c r="P776" s="147"/>
      <c r="Q776" s="94"/>
      <c r="R776" s="91"/>
      <c r="S776" s="148"/>
      <c r="T776" s="91"/>
      <c r="U776" s="101"/>
      <c r="V776" s="101"/>
      <c r="W776" s="101"/>
    </row>
    <row r="777">
      <c r="A777" s="94"/>
      <c r="B777" s="138"/>
      <c r="C777" s="120"/>
      <c r="D777" s="120"/>
      <c r="E777" s="120"/>
      <c r="F777" s="91"/>
      <c r="G777" s="88"/>
      <c r="H777" s="94"/>
      <c r="I777" s="91"/>
      <c r="J777" s="94"/>
      <c r="K777" s="94"/>
      <c r="L777" s="94"/>
      <c r="M777" s="147"/>
      <c r="N777" s="147"/>
      <c r="O777" s="147"/>
      <c r="P777" s="147"/>
      <c r="Q777" s="94"/>
      <c r="R777" s="91"/>
      <c r="S777" s="148"/>
      <c r="T777" s="91"/>
      <c r="U777" s="101"/>
      <c r="V777" s="101"/>
      <c r="W777" s="101"/>
    </row>
    <row r="778">
      <c r="A778" s="94"/>
      <c r="B778" s="138"/>
      <c r="C778" s="120"/>
      <c r="D778" s="120"/>
      <c r="E778" s="120"/>
      <c r="F778" s="91"/>
      <c r="G778" s="88"/>
      <c r="H778" s="94"/>
      <c r="I778" s="91"/>
      <c r="J778" s="94"/>
      <c r="K778" s="94"/>
      <c r="L778" s="94"/>
      <c r="M778" s="147"/>
      <c r="N778" s="147"/>
      <c r="O778" s="147"/>
      <c r="P778" s="147"/>
      <c r="Q778" s="94"/>
      <c r="R778" s="91"/>
      <c r="S778" s="148"/>
      <c r="T778" s="91"/>
      <c r="U778" s="101"/>
      <c r="V778" s="101"/>
      <c r="W778" s="101"/>
    </row>
    <row r="779">
      <c r="A779" s="94"/>
      <c r="B779" s="138"/>
      <c r="C779" s="120"/>
      <c r="D779" s="120"/>
      <c r="E779" s="120"/>
      <c r="F779" s="91"/>
      <c r="G779" s="88"/>
      <c r="H779" s="94"/>
      <c r="I779" s="91"/>
      <c r="J779" s="94"/>
      <c r="K779" s="94"/>
      <c r="L779" s="94"/>
      <c r="M779" s="147"/>
      <c r="N779" s="147"/>
      <c r="O779" s="147"/>
      <c r="P779" s="147"/>
      <c r="Q779" s="94"/>
      <c r="R779" s="91"/>
      <c r="S779" s="148"/>
      <c r="T779" s="91"/>
      <c r="U779" s="101"/>
      <c r="V779" s="101"/>
      <c r="W779" s="101"/>
    </row>
    <row r="780">
      <c r="A780" s="94"/>
      <c r="B780" s="138"/>
      <c r="C780" s="120"/>
      <c r="D780" s="120"/>
      <c r="E780" s="120"/>
      <c r="F780" s="91"/>
      <c r="G780" s="88"/>
      <c r="H780" s="94"/>
      <c r="I780" s="91"/>
      <c r="J780" s="94"/>
      <c r="K780" s="94"/>
      <c r="L780" s="94"/>
      <c r="M780" s="147"/>
      <c r="N780" s="147"/>
      <c r="O780" s="147"/>
      <c r="P780" s="147"/>
      <c r="Q780" s="94"/>
      <c r="R780" s="91"/>
      <c r="S780" s="148"/>
      <c r="T780" s="91"/>
      <c r="U780" s="101"/>
      <c r="V780" s="101"/>
      <c r="W780" s="101"/>
    </row>
    <row r="781">
      <c r="A781" s="94"/>
      <c r="B781" s="138"/>
      <c r="C781" s="120"/>
      <c r="D781" s="120"/>
      <c r="E781" s="120"/>
      <c r="F781" s="91"/>
      <c r="G781" s="88"/>
      <c r="H781" s="94"/>
      <c r="I781" s="91"/>
      <c r="J781" s="94"/>
      <c r="K781" s="94"/>
      <c r="L781" s="94"/>
      <c r="M781" s="147"/>
      <c r="N781" s="147"/>
      <c r="O781" s="147"/>
      <c r="P781" s="147"/>
      <c r="Q781" s="94"/>
      <c r="R781" s="91"/>
      <c r="S781" s="148"/>
      <c r="T781" s="91"/>
      <c r="U781" s="101"/>
      <c r="V781" s="101"/>
      <c r="W781" s="101"/>
    </row>
    <row r="782">
      <c r="A782" s="94"/>
      <c r="B782" s="138"/>
      <c r="C782" s="120"/>
      <c r="D782" s="120"/>
      <c r="E782" s="120"/>
      <c r="F782" s="91"/>
      <c r="G782" s="88"/>
      <c r="H782" s="94"/>
      <c r="I782" s="91"/>
      <c r="J782" s="94"/>
      <c r="K782" s="94"/>
      <c r="L782" s="94"/>
      <c r="M782" s="147"/>
      <c r="N782" s="147"/>
      <c r="O782" s="147"/>
      <c r="P782" s="147"/>
      <c r="Q782" s="94"/>
      <c r="R782" s="91"/>
      <c r="S782" s="148"/>
      <c r="T782" s="91"/>
      <c r="U782" s="101"/>
      <c r="V782" s="101"/>
      <c r="W782" s="101"/>
    </row>
    <row r="783">
      <c r="A783" s="94"/>
      <c r="B783" s="138"/>
      <c r="C783" s="120"/>
      <c r="D783" s="120"/>
      <c r="E783" s="120"/>
      <c r="F783" s="91"/>
      <c r="G783" s="88"/>
      <c r="H783" s="94"/>
      <c r="I783" s="91"/>
      <c r="J783" s="94"/>
      <c r="K783" s="94"/>
      <c r="L783" s="94"/>
      <c r="M783" s="147"/>
      <c r="N783" s="147"/>
      <c r="O783" s="147"/>
      <c r="P783" s="147"/>
      <c r="Q783" s="94"/>
      <c r="R783" s="91"/>
      <c r="S783" s="148"/>
      <c r="T783" s="91"/>
      <c r="U783" s="101"/>
      <c r="V783" s="101"/>
      <c r="W783" s="101"/>
    </row>
    <row r="784">
      <c r="A784" s="94"/>
      <c r="B784" s="138"/>
      <c r="C784" s="120"/>
      <c r="D784" s="120"/>
      <c r="E784" s="120"/>
      <c r="F784" s="91"/>
      <c r="G784" s="88"/>
      <c r="H784" s="94"/>
      <c r="I784" s="91"/>
      <c r="J784" s="94"/>
      <c r="K784" s="94"/>
      <c r="L784" s="94"/>
      <c r="M784" s="147"/>
      <c r="N784" s="147"/>
      <c r="O784" s="147"/>
      <c r="P784" s="147"/>
      <c r="Q784" s="94"/>
      <c r="R784" s="91"/>
      <c r="S784" s="148"/>
      <c r="T784" s="91"/>
      <c r="U784" s="101"/>
      <c r="V784" s="101"/>
      <c r="W784" s="101"/>
    </row>
    <row r="785">
      <c r="A785" s="94"/>
      <c r="B785" s="138"/>
      <c r="C785" s="120"/>
      <c r="D785" s="120"/>
      <c r="E785" s="120"/>
      <c r="F785" s="91"/>
      <c r="G785" s="88"/>
      <c r="H785" s="94"/>
      <c r="I785" s="91"/>
      <c r="J785" s="94"/>
      <c r="K785" s="94"/>
      <c r="L785" s="94"/>
      <c r="M785" s="147"/>
      <c r="N785" s="147"/>
      <c r="O785" s="147"/>
      <c r="P785" s="147"/>
      <c r="Q785" s="94"/>
      <c r="R785" s="91"/>
      <c r="S785" s="148"/>
      <c r="T785" s="91"/>
      <c r="U785" s="101"/>
      <c r="V785" s="101"/>
      <c r="W785" s="101"/>
    </row>
    <row r="786">
      <c r="A786" s="94"/>
      <c r="B786" s="138"/>
      <c r="C786" s="120"/>
      <c r="D786" s="120"/>
      <c r="E786" s="120"/>
      <c r="F786" s="91"/>
      <c r="G786" s="88"/>
      <c r="H786" s="94"/>
      <c r="I786" s="91"/>
      <c r="J786" s="94"/>
      <c r="K786" s="94"/>
      <c r="L786" s="94"/>
      <c r="M786" s="147"/>
      <c r="N786" s="147"/>
      <c r="O786" s="147"/>
      <c r="P786" s="147"/>
      <c r="Q786" s="94"/>
      <c r="R786" s="91"/>
      <c r="S786" s="148"/>
      <c r="T786" s="91"/>
      <c r="U786" s="101"/>
      <c r="V786" s="101"/>
      <c r="W786" s="101"/>
    </row>
    <row r="787">
      <c r="A787" s="94"/>
      <c r="B787" s="138"/>
      <c r="C787" s="120"/>
      <c r="D787" s="120"/>
      <c r="E787" s="120"/>
      <c r="F787" s="91"/>
      <c r="G787" s="88"/>
      <c r="H787" s="94"/>
      <c r="I787" s="91"/>
      <c r="J787" s="94"/>
      <c r="K787" s="94"/>
      <c r="L787" s="94"/>
      <c r="M787" s="147"/>
      <c r="N787" s="147"/>
      <c r="O787" s="147"/>
      <c r="P787" s="147"/>
      <c r="Q787" s="94"/>
      <c r="R787" s="91"/>
      <c r="S787" s="148"/>
      <c r="T787" s="91"/>
      <c r="U787" s="101"/>
      <c r="V787" s="101"/>
      <c r="W787" s="101"/>
    </row>
    <row r="788">
      <c r="A788" s="94"/>
      <c r="B788" s="138"/>
      <c r="C788" s="120"/>
      <c r="D788" s="120"/>
      <c r="E788" s="120"/>
      <c r="F788" s="91"/>
      <c r="G788" s="88"/>
      <c r="H788" s="94"/>
      <c r="I788" s="91"/>
      <c r="J788" s="94"/>
      <c r="K788" s="94"/>
      <c r="L788" s="94"/>
      <c r="M788" s="147"/>
      <c r="N788" s="147"/>
      <c r="O788" s="147"/>
      <c r="P788" s="147"/>
      <c r="Q788" s="94"/>
      <c r="R788" s="91"/>
      <c r="S788" s="148"/>
      <c r="T788" s="91"/>
      <c r="U788" s="101"/>
      <c r="V788" s="101"/>
      <c r="W788" s="101"/>
    </row>
    <row r="789">
      <c r="A789" s="94"/>
      <c r="B789" s="138"/>
      <c r="C789" s="120"/>
      <c r="D789" s="120"/>
      <c r="E789" s="120"/>
      <c r="F789" s="91"/>
      <c r="G789" s="88"/>
      <c r="H789" s="94"/>
      <c r="I789" s="91"/>
      <c r="J789" s="94"/>
      <c r="K789" s="94"/>
      <c r="L789" s="94"/>
      <c r="M789" s="147"/>
      <c r="N789" s="147"/>
      <c r="O789" s="147"/>
      <c r="P789" s="147"/>
      <c r="Q789" s="94"/>
      <c r="R789" s="91"/>
      <c r="S789" s="148"/>
      <c r="T789" s="91"/>
      <c r="U789" s="101"/>
      <c r="V789" s="101"/>
      <c r="W789" s="101"/>
    </row>
    <row r="790">
      <c r="A790" s="94"/>
      <c r="B790" s="138"/>
      <c r="C790" s="120"/>
      <c r="D790" s="120"/>
      <c r="E790" s="120"/>
      <c r="F790" s="91"/>
      <c r="G790" s="88"/>
      <c r="H790" s="94"/>
      <c r="I790" s="91"/>
      <c r="J790" s="94"/>
      <c r="K790" s="94"/>
      <c r="L790" s="94"/>
      <c r="M790" s="147"/>
      <c r="N790" s="147"/>
      <c r="O790" s="147"/>
      <c r="P790" s="147"/>
      <c r="Q790" s="94"/>
      <c r="R790" s="91"/>
      <c r="S790" s="148"/>
      <c r="T790" s="91"/>
      <c r="U790" s="101"/>
      <c r="V790" s="101"/>
      <c r="W790" s="101"/>
    </row>
    <row r="791">
      <c r="A791" s="94"/>
      <c r="B791" s="138"/>
      <c r="C791" s="120"/>
      <c r="D791" s="120"/>
      <c r="E791" s="120"/>
      <c r="F791" s="91"/>
      <c r="G791" s="88"/>
      <c r="H791" s="94"/>
      <c r="I791" s="91"/>
      <c r="J791" s="94"/>
      <c r="K791" s="94"/>
      <c r="L791" s="94"/>
      <c r="M791" s="147"/>
      <c r="N791" s="147"/>
      <c r="O791" s="147"/>
      <c r="P791" s="147"/>
      <c r="Q791" s="94"/>
      <c r="R791" s="91"/>
      <c r="S791" s="148"/>
      <c r="T791" s="91"/>
      <c r="U791" s="101"/>
      <c r="V791" s="101"/>
      <c r="W791" s="101"/>
    </row>
    <row r="792">
      <c r="A792" s="94"/>
      <c r="B792" s="138"/>
      <c r="C792" s="120"/>
      <c r="D792" s="120"/>
      <c r="E792" s="120"/>
      <c r="F792" s="91"/>
      <c r="G792" s="88"/>
      <c r="H792" s="94"/>
      <c r="I792" s="91"/>
      <c r="J792" s="94"/>
      <c r="K792" s="94"/>
      <c r="L792" s="94"/>
      <c r="M792" s="147"/>
      <c r="N792" s="147"/>
      <c r="O792" s="147"/>
      <c r="P792" s="147"/>
      <c r="Q792" s="94"/>
      <c r="R792" s="91"/>
      <c r="S792" s="148"/>
      <c r="T792" s="91"/>
      <c r="U792" s="101"/>
      <c r="V792" s="101"/>
      <c r="W792" s="101"/>
    </row>
    <row r="793">
      <c r="A793" s="94"/>
      <c r="B793" s="138"/>
      <c r="C793" s="120"/>
      <c r="D793" s="120"/>
      <c r="E793" s="120"/>
      <c r="F793" s="91"/>
      <c r="G793" s="88"/>
      <c r="H793" s="94"/>
      <c r="I793" s="91"/>
      <c r="J793" s="94"/>
      <c r="K793" s="94"/>
      <c r="L793" s="94"/>
      <c r="M793" s="147"/>
      <c r="N793" s="147"/>
      <c r="O793" s="147"/>
      <c r="P793" s="147"/>
      <c r="Q793" s="94"/>
      <c r="R793" s="91"/>
      <c r="S793" s="148"/>
      <c r="T793" s="91"/>
      <c r="U793" s="101"/>
      <c r="V793" s="101"/>
      <c r="W793" s="101"/>
    </row>
    <row r="794">
      <c r="A794" s="94"/>
      <c r="B794" s="138"/>
      <c r="C794" s="120"/>
      <c r="D794" s="120"/>
      <c r="E794" s="120"/>
      <c r="F794" s="91"/>
      <c r="G794" s="88"/>
      <c r="H794" s="94"/>
      <c r="I794" s="91"/>
      <c r="J794" s="94"/>
      <c r="K794" s="94"/>
      <c r="L794" s="94"/>
      <c r="M794" s="147"/>
      <c r="N794" s="147"/>
      <c r="O794" s="147"/>
      <c r="P794" s="147"/>
      <c r="Q794" s="94"/>
      <c r="R794" s="91"/>
      <c r="S794" s="148"/>
      <c r="T794" s="91"/>
      <c r="U794" s="101"/>
      <c r="V794" s="101"/>
      <c r="W794" s="101"/>
    </row>
    <row r="795">
      <c r="A795" s="94"/>
      <c r="B795" s="138"/>
      <c r="C795" s="120"/>
      <c r="D795" s="120"/>
      <c r="E795" s="120"/>
      <c r="F795" s="91"/>
      <c r="G795" s="88"/>
      <c r="H795" s="94"/>
      <c r="I795" s="91"/>
      <c r="J795" s="94"/>
      <c r="K795" s="94"/>
      <c r="L795" s="94"/>
      <c r="M795" s="147"/>
      <c r="N795" s="147"/>
      <c r="O795" s="147"/>
      <c r="P795" s="147"/>
      <c r="Q795" s="94"/>
      <c r="R795" s="91"/>
      <c r="S795" s="148"/>
      <c r="T795" s="91"/>
      <c r="U795" s="101"/>
      <c r="V795" s="101"/>
      <c r="W795" s="101"/>
    </row>
    <row r="796">
      <c r="A796" s="94"/>
      <c r="B796" s="138"/>
      <c r="C796" s="120"/>
      <c r="D796" s="120"/>
      <c r="E796" s="120"/>
      <c r="F796" s="91"/>
      <c r="G796" s="88"/>
      <c r="H796" s="94"/>
      <c r="I796" s="91"/>
      <c r="J796" s="94"/>
      <c r="K796" s="94"/>
      <c r="L796" s="94"/>
      <c r="M796" s="147"/>
      <c r="N796" s="147"/>
      <c r="O796" s="147"/>
      <c r="P796" s="147"/>
      <c r="Q796" s="94"/>
      <c r="R796" s="91"/>
      <c r="S796" s="148"/>
      <c r="T796" s="91"/>
      <c r="U796" s="101"/>
      <c r="V796" s="101"/>
      <c r="W796" s="101"/>
    </row>
    <row r="797">
      <c r="A797" s="94"/>
      <c r="B797" s="138"/>
      <c r="C797" s="120"/>
      <c r="D797" s="120"/>
      <c r="E797" s="120"/>
      <c r="F797" s="91"/>
      <c r="G797" s="88"/>
      <c r="H797" s="94"/>
      <c r="I797" s="91"/>
      <c r="J797" s="94"/>
      <c r="K797" s="94"/>
      <c r="L797" s="94"/>
      <c r="M797" s="147"/>
      <c r="N797" s="147"/>
      <c r="O797" s="147"/>
      <c r="P797" s="147"/>
      <c r="Q797" s="94"/>
      <c r="R797" s="91"/>
      <c r="S797" s="148"/>
      <c r="T797" s="91"/>
      <c r="U797" s="101"/>
      <c r="V797" s="101"/>
      <c r="W797" s="101"/>
    </row>
    <row r="798">
      <c r="A798" s="94"/>
      <c r="B798" s="138"/>
      <c r="C798" s="120"/>
      <c r="D798" s="120"/>
      <c r="E798" s="120"/>
      <c r="F798" s="91"/>
      <c r="G798" s="88"/>
      <c r="H798" s="94"/>
      <c r="I798" s="91"/>
      <c r="J798" s="94"/>
      <c r="K798" s="94"/>
      <c r="L798" s="94"/>
      <c r="M798" s="147"/>
      <c r="N798" s="147"/>
      <c r="O798" s="147"/>
      <c r="P798" s="147"/>
      <c r="Q798" s="94"/>
      <c r="R798" s="91"/>
      <c r="S798" s="148"/>
      <c r="T798" s="91"/>
      <c r="U798" s="101"/>
      <c r="V798" s="101"/>
      <c r="W798" s="101"/>
    </row>
    <row r="799">
      <c r="A799" s="94"/>
      <c r="B799" s="138"/>
      <c r="C799" s="120"/>
      <c r="D799" s="120"/>
      <c r="E799" s="120"/>
      <c r="F799" s="91"/>
      <c r="G799" s="88"/>
      <c r="H799" s="94"/>
      <c r="I799" s="91"/>
      <c r="J799" s="94"/>
      <c r="K799" s="94"/>
      <c r="L799" s="94"/>
      <c r="M799" s="147"/>
      <c r="N799" s="147"/>
      <c r="O799" s="147"/>
      <c r="P799" s="147"/>
      <c r="Q799" s="94"/>
      <c r="R799" s="91"/>
      <c r="S799" s="148"/>
      <c r="T799" s="91"/>
      <c r="U799" s="101"/>
      <c r="V799" s="101"/>
      <c r="W799" s="101"/>
    </row>
    <row r="800">
      <c r="A800" s="94"/>
      <c r="B800" s="138"/>
      <c r="C800" s="120"/>
      <c r="D800" s="120"/>
      <c r="E800" s="120"/>
      <c r="F800" s="91"/>
      <c r="G800" s="88"/>
      <c r="H800" s="94"/>
      <c r="I800" s="91"/>
      <c r="J800" s="94"/>
      <c r="K800" s="94"/>
      <c r="L800" s="94"/>
      <c r="M800" s="147"/>
      <c r="N800" s="147"/>
      <c r="O800" s="147"/>
      <c r="P800" s="147"/>
      <c r="Q800" s="94"/>
      <c r="R800" s="91"/>
      <c r="S800" s="148"/>
      <c r="T800" s="91"/>
      <c r="U800" s="101"/>
      <c r="V800" s="101"/>
      <c r="W800" s="101"/>
    </row>
    <row r="801">
      <c r="A801" s="94"/>
      <c r="B801" s="138"/>
      <c r="C801" s="120"/>
      <c r="D801" s="120"/>
      <c r="E801" s="120"/>
      <c r="F801" s="91"/>
      <c r="G801" s="88"/>
      <c r="H801" s="94"/>
      <c r="I801" s="91"/>
      <c r="J801" s="94"/>
      <c r="K801" s="94"/>
      <c r="L801" s="94"/>
      <c r="M801" s="147"/>
      <c r="N801" s="147"/>
      <c r="O801" s="147"/>
      <c r="P801" s="147"/>
      <c r="Q801" s="94"/>
      <c r="R801" s="91"/>
      <c r="S801" s="148"/>
      <c r="T801" s="91"/>
      <c r="U801" s="101"/>
      <c r="V801" s="101"/>
      <c r="W801" s="101"/>
    </row>
    <row r="802">
      <c r="A802" s="94"/>
      <c r="B802" s="138"/>
      <c r="C802" s="120"/>
      <c r="D802" s="120"/>
      <c r="E802" s="120"/>
      <c r="F802" s="91"/>
      <c r="G802" s="88"/>
      <c r="H802" s="94"/>
      <c r="I802" s="91"/>
      <c r="J802" s="94"/>
      <c r="K802" s="94"/>
      <c r="L802" s="94"/>
      <c r="M802" s="147"/>
      <c r="N802" s="147"/>
      <c r="O802" s="147"/>
      <c r="P802" s="147"/>
      <c r="Q802" s="94"/>
      <c r="R802" s="91"/>
      <c r="S802" s="148"/>
      <c r="T802" s="91"/>
      <c r="U802" s="101"/>
      <c r="V802" s="101"/>
      <c r="W802" s="101"/>
    </row>
    <row r="803">
      <c r="A803" s="94"/>
      <c r="B803" s="138"/>
      <c r="C803" s="120"/>
      <c r="D803" s="120"/>
      <c r="E803" s="120"/>
      <c r="F803" s="91"/>
      <c r="G803" s="88"/>
      <c r="H803" s="94"/>
      <c r="I803" s="91"/>
      <c r="J803" s="94"/>
      <c r="K803" s="94"/>
      <c r="L803" s="94"/>
      <c r="M803" s="147"/>
      <c r="N803" s="147"/>
      <c r="O803" s="147"/>
      <c r="P803" s="147"/>
      <c r="Q803" s="94"/>
      <c r="R803" s="91"/>
      <c r="S803" s="148"/>
      <c r="T803" s="91"/>
      <c r="U803" s="101"/>
      <c r="V803" s="101"/>
      <c r="W803" s="101"/>
    </row>
    <row r="804">
      <c r="A804" s="94"/>
      <c r="B804" s="138"/>
      <c r="C804" s="120"/>
      <c r="D804" s="120"/>
      <c r="E804" s="120"/>
      <c r="F804" s="91"/>
      <c r="G804" s="88"/>
      <c r="H804" s="94"/>
      <c r="I804" s="91"/>
      <c r="J804" s="94"/>
      <c r="K804" s="94"/>
      <c r="L804" s="94"/>
      <c r="M804" s="147"/>
      <c r="N804" s="147"/>
      <c r="O804" s="147"/>
      <c r="P804" s="147"/>
      <c r="Q804" s="94"/>
      <c r="R804" s="91"/>
      <c r="S804" s="148"/>
      <c r="T804" s="91"/>
      <c r="U804" s="101"/>
      <c r="V804" s="101"/>
      <c r="W804" s="101"/>
    </row>
    <row r="805">
      <c r="A805" s="94"/>
      <c r="B805" s="138"/>
      <c r="C805" s="120"/>
      <c r="D805" s="120"/>
      <c r="E805" s="120"/>
      <c r="F805" s="91"/>
      <c r="G805" s="88"/>
      <c r="H805" s="94"/>
      <c r="I805" s="91"/>
      <c r="J805" s="94"/>
      <c r="K805" s="94"/>
      <c r="L805" s="94"/>
      <c r="M805" s="147"/>
      <c r="N805" s="147"/>
      <c r="O805" s="147"/>
      <c r="P805" s="147"/>
      <c r="Q805" s="94"/>
      <c r="R805" s="91"/>
      <c r="S805" s="148"/>
      <c r="T805" s="91"/>
      <c r="U805" s="101"/>
      <c r="V805" s="101"/>
      <c r="W805" s="101"/>
    </row>
    <row r="806">
      <c r="A806" s="94"/>
      <c r="B806" s="138"/>
      <c r="C806" s="120"/>
      <c r="D806" s="120"/>
      <c r="E806" s="120"/>
      <c r="F806" s="91"/>
      <c r="G806" s="88"/>
      <c r="H806" s="94"/>
      <c r="I806" s="91"/>
      <c r="J806" s="94"/>
      <c r="K806" s="94"/>
      <c r="L806" s="94"/>
      <c r="M806" s="147"/>
      <c r="N806" s="147"/>
      <c r="O806" s="147"/>
      <c r="P806" s="147"/>
      <c r="Q806" s="94"/>
      <c r="R806" s="91"/>
      <c r="S806" s="148"/>
      <c r="T806" s="91"/>
      <c r="U806" s="101"/>
      <c r="V806" s="101"/>
      <c r="W806" s="101"/>
    </row>
    <row r="807">
      <c r="A807" s="94"/>
      <c r="B807" s="138"/>
      <c r="C807" s="120"/>
      <c r="D807" s="120"/>
      <c r="E807" s="120"/>
      <c r="F807" s="91"/>
      <c r="G807" s="88"/>
      <c r="H807" s="94"/>
      <c r="I807" s="91"/>
      <c r="J807" s="94"/>
      <c r="K807" s="94"/>
      <c r="L807" s="94"/>
      <c r="M807" s="147"/>
      <c r="N807" s="147"/>
      <c r="O807" s="147"/>
      <c r="P807" s="147"/>
      <c r="Q807" s="94"/>
      <c r="R807" s="91"/>
      <c r="S807" s="148"/>
      <c r="T807" s="91"/>
      <c r="U807" s="101"/>
      <c r="V807" s="101"/>
      <c r="W807" s="101"/>
    </row>
    <row r="808">
      <c r="A808" s="94"/>
      <c r="B808" s="138"/>
      <c r="C808" s="120"/>
      <c r="D808" s="120"/>
      <c r="E808" s="120"/>
      <c r="F808" s="91"/>
      <c r="G808" s="88"/>
      <c r="H808" s="94"/>
      <c r="I808" s="91"/>
      <c r="J808" s="94"/>
      <c r="K808" s="94"/>
      <c r="L808" s="94"/>
      <c r="M808" s="147"/>
      <c r="N808" s="147"/>
      <c r="O808" s="147"/>
      <c r="P808" s="147"/>
      <c r="Q808" s="94"/>
      <c r="R808" s="91"/>
      <c r="S808" s="148"/>
      <c r="T808" s="91"/>
      <c r="U808" s="101"/>
      <c r="V808" s="101"/>
      <c r="W808" s="101"/>
    </row>
    <row r="809">
      <c r="A809" s="94"/>
      <c r="B809" s="138"/>
      <c r="C809" s="120"/>
      <c r="D809" s="120"/>
      <c r="E809" s="120"/>
      <c r="F809" s="91"/>
      <c r="G809" s="88"/>
      <c r="H809" s="94"/>
      <c r="I809" s="91"/>
      <c r="J809" s="94"/>
      <c r="K809" s="94"/>
      <c r="L809" s="94"/>
      <c r="M809" s="147"/>
      <c r="N809" s="147"/>
      <c r="O809" s="147"/>
      <c r="P809" s="147"/>
      <c r="Q809" s="94"/>
      <c r="R809" s="91"/>
      <c r="S809" s="148"/>
      <c r="T809" s="91"/>
      <c r="U809" s="101"/>
      <c r="V809" s="101"/>
      <c r="W809" s="101"/>
    </row>
    <row r="810">
      <c r="A810" s="94"/>
      <c r="B810" s="138"/>
      <c r="C810" s="120"/>
      <c r="D810" s="120"/>
      <c r="E810" s="120"/>
      <c r="F810" s="91"/>
      <c r="G810" s="88"/>
      <c r="H810" s="94"/>
      <c r="I810" s="91"/>
      <c r="J810" s="94"/>
      <c r="K810" s="94"/>
      <c r="L810" s="94"/>
      <c r="M810" s="147"/>
      <c r="N810" s="147"/>
      <c r="O810" s="147"/>
      <c r="P810" s="147"/>
      <c r="Q810" s="94"/>
      <c r="R810" s="91"/>
      <c r="S810" s="148"/>
      <c r="T810" s="91"/>
      <c r="U810" s="101"/>
      <c r="V810" s="101"/>
      <c r="W810" s="101"/>
    </row>
    <row r="811">
      <c r="A811" s="94"/>
      <c r="B811" s="138"/>
      <c r="C811" s="120"/>
      <c r="D811" s="120"/>
      <c r="E811" s="120"/>
      <c r="F811" s="91"/>
      <c r="G811" s="88"/>
      <c r="H811" s="94"/>
      <c r="I811" s="91"/>
      <c r="J811" s="94"/>
      <c r="K811" s="94"/>
      <c r="L811" s="94"/>
      <c r="M811" s="147"/>
      <c r="N811" s="147"/>
      <c r="O811" s="147"/>
      <c r="P811" s="147"/>
      <c r="Q811" s="94"/>
      <c r="R811" s="91"/>
      <c r="S811" s="148"/>
      <c r="T811" s="91"/>
      <c r="U811" s="101"/>
      <c r="V811" s="101"/>
      <c r="W811" s="101"/>
    </row>
    <row r="812">
      <c r="A812" s="94"/>
      <c r="B812" s="138"/>
      <c r="C812" s="120"/>
      <c r="D812" s="120"/>
      <c r="E812" s="120"/>
      <c r="F812" s="91"/>
      <c r="G812" s="88"/>
      <c r="H812" s="94"/>
      <c r="I812" s="91"/>
      <c r="J812" s="94"/>
      <c r="K812" s="94"/>
      <c r="L812" s="94"/>
      <c r="M812" s="147"/>
      <c r="N812" s="147"/>
      <c r="O812" s="147"/>
      <c r="P812" s="147"/>
      <c r="Q812" s="94"/>
      <c r="R812" s="91"/>
      <c r="S812" s="148"/>
      <c r="T812" s="91"/>
      <c r="U812" s="101"/>
      <c r="V812" s="101"/>
      <c r="W812" s="101"/>
    </row>
    <row r="813">
      <c r="A813" s="94"/>
      <c r="B813" s="138"/>
      <c r="C813" s="120"/>
      <c r="D813" s="120"/>
      <c r="E813" s="120"/>
      <c r="F813" s="91"/>
      <c r="G813" s="88"/>
      <c r="H813" s="94"/>
      <c r="I813" s="91"/>
      <c r="J813" s="94"/>
      <c r="K813" s="94"/>
      <c r="L813" s="94"/>
      <c r="M813" s="147"/>
      <c r="N813" s="147"/>
      <c r="O813" s="147"/>
      <c r="P813" s="147"/>
      <c r="Q813" s="94"/>
      <c r="R813" s="91"/>
      <c r="S813" s="148"/>
      <c r="T813" s="91"/>
      <c r="U813" s="101"/>
      <c r="V813" s="101"/>
      <c r="W813" s="101"/>
    </row>
    <row r="814">
      <c r="A814" s="94"/>
      <c r="B814" s="138"/>
      <c r="C814" s="120"/>
      <c r="D814" s="120"/>
      <c r="E814" s="120"/>
      <c r="F814" s="91"/>
      <c r="G814" s="88"/>
      <c r="H814" s="94"/>
      <c r="I814" s="91"/>
      <c r="J814" s="94"/>
      <c r="K814" s="94"/>
      <c r="L814" s="94"/>
      <c r="M814" s="147"/>
      <c r="N814" s="147"/>
      <c r="O814" s="147"/>
      <c r="P814" s="147"/>
      <c r="Q814" s="94"/>
      <c r="R814" s="91"/>
      <c r="S814" s="148"/>
      <c r="T814" s="91"/>
      <c r="U814" s="101"/>
      <c r="V814" s="101"/>
      <c r="W814" s="101"/>
    </row>
    <row r="815">
      <c r="A815" s="94"/>
      <c r="B815" s="138"/>
      <c r="C815" s="120"/>
      <c r="D815" s="120"/>
      <c r="E815" s="120"/>
      <c r="F815" s="91"/>
      <c r="G815" s="88"/>
      <c r="H815" s="94"/>
      <c r="I815" s="91"/>
      <c r="J815" s="94"/>
      <c r="K815" s="94"/>
      <c r="L815" s="94"/>
      <c r="M815" s="147"/>
      <c r="N815" s="147"/>
      <c r="O815" s="147"/>
      <c r="P815" s="147"/>
      <c r="Q815" s="94"/>
      <c r="R815" s="91"/>
      <c r="S815" s="148"/>
      <c r="T815" s="91"/>
      <c r="U815" s="101"/>
      <c r="V815" s="101"/>
      <c r="W815" s="101"/>
    </row>
    <row r="816">
      <c r="A816" s="94"/>
      <c r="B816" s="138"/>
      <c r="C816" s="120"/>
      <c r="D816" s="120"/>
      <c r="E816" s="120"/>
      <c r="F816" s="91"/>
      <c r="G816" s="88"/>
      <c r="H816" s="94"/>
      <c r="I816" s="91"/>
      <c r="J816" s="94"/>
      <c r="K816" s="94"/>
      <c r="L816" s="94"/>
      <c r="M816" s="147"/>
      <c r="N816" s="147"/>
      <c r="O816" s="147"/>
      <c r="P816" s="147"/>
      <c r="Q816" s="94"/>
      <c r="R816" s="91"/>
      <c r="S816" s="148"/>
      <c r="T816" s="91"/>
      <c r="U816" s="101"/>
      <c r="V816" s="101"/>
      <c r="W816" s="101"/>
    </row>
    <row r="817">
      <c r="A817" s="94"/>
      <c r="B817" s="138"/>
      <c r="C817" s="120"/>
      <c r="D817" s="120"/>
      <c r="E817" s="120"/>
      <c r="F817" s="91"/>
      <c r="G817" s="88"/>
      <c r="H817" s="94"/>
      <c r="I817" s="91"/>
      <c r="J817" s="94"/>
      <c r="K817" s="94"/>
      <c r="L817" s="94"/>
      <c r="M817" s="147"/>
      <c r="N817" s="147"/>
      <c r="O817" s="147"/>
      <c r="P817" s="147"/>
      <c r="Q817" s="94"/>
      <c r="R817" s="91"/>
      <c r="S817" s="148"/>
      <c r="T817" s="91"/>
      <c r="U817" s="101"/>
      <c r="V817" s="101"/>
      <c r="W817" s="101"/>
    </row>
    <row r="818">
      <c r="A818" s="94"/>
      <c r="B818" s="138"/>
      <c r="C818" s="120"/>
      <c r="D818" s="120"/>
      <c r="E818" s="120"/>
      <c r="F818" s="91"/>
      <c r="G818" s="88"/>
      <c r="H818" s="94"/>
      <c r="I818" s="91"/>
      <c r="J818" s="94"/>
      <c r="K818" s="94"/>
      <c r="L818" s="94"/>
      <c r="M818" s="147"/>
      <c r="N818" s="147"/>
      <c r="O818" s="147"/>
      <c r="P818" s="147"/>
      <c r="Q818" s="94"/>
      <c r="R818" s="91"/>
      <c r="S818" s="148"/>
      <c r="T818" s="91"/>
      <c r="U818" s="101"/>
      <c r="V818" s="101"/>
      <c r="W818" s="101"/>
    </row>
    <row r="819">
      <c r="A819" s="94"/>
      <c r="B819" s="138"/>
      <c r="C819" s="120"/>
      <c r="D819" s="120"/>
      <c r="E819" s="120"/>
      <c r="F819" s="91"/>
      <c r="G819" s="88"/>
      <c r="H819" s="94"/>
      <c r="I819" s="91"/>
      <c r="J819" s="94"/>
      <c r="K819" s="94"/>
      <c r="L819" s="94"/>
      <c r="M819" s="147"/>
      <c r="N819" s="147"/>
      <c r="O819" s="147"/>
      <c r="P819" s="147"/>
      <c r="Q819" s="94"/>
      <c r="R819" s="91"/>
      <c r="S819" s="148"/>
      <c r="T819" s="91"/>
      <c r="U819" s="101"/>
      <c r="V819" s="101"/>
      <c r="W819" s="101"/>
    </row>
    <row r="820">
      <c r="A820" s="94"/>
      <c r="B820" s="138"/>
      <c r="C820" s="120"/>
      <c r="D820" s="120"/>
      <c r="E820" s="120"/>
      <c r="F820" s="91"/>
      <c r="G820" s="88"/>
      <c r="H820" s="94"/>
      <c r="I820" s="91"/>
      <c r="J820" s="94"/>
      <c r="K820" s="94"/>
      <c r="L820" s="94"/>
      <c r="M820" s="147"/>
      <c r="N820" s="147"/>
      <c r="O820" s="147"/>
      <c r="P820" s="147"/>
      <c r="Q820" s="94"/>
      <c r="R820" s="91"/>
      <c r="S820" s="148"/>
      <c r="T820" s="91"/>
      <c r="U820" s="101"/>
      <c r="V820" s="101"/>
      <c r="W820" s="101"/>
    </row>
    <row r="821">
      <c r="A821" s="94"/>
      <c r="B821" s="138"/>
      <c r="C821" s="120"/>
      <c r="D821" s="120"/>
      <c r="E821" s="120"/>
      <c r="F821" s="91"/>
      <c r="G821" s="88"/>
      <c r="H821" s="94"/>
      <c r="I821" s="91"/>
      <c r="J821" s="94"/>
      <c r="K821" s="94"/>
      <c r="L821" s="94"/>
      <c r="M821" s="147"/>
      <c r="N821" s="147"/>
      <c r="O821" s="147"/>
      <c r="P821" s="147"/>
      <c r="Q821" s="94"/>
      <c r="R821" s="91"/>
      <c r="S821" s="148"/>
      <c r="T821" s="91"/>
      <c r="U821" s="101"/>
      <c r="V821" s="101"/>
      <c r="W821" s="101"/>
    </row>
    <row r="822">
      <c r="A822" s="94"/>
      <c r="B822" s="138"/>
      <c r="C822" s="120"/>
      <c r="D822" s="120"/>
      <c r="E822" s="120"/>
      <c r="F822" s="91"/>
      <c r="G822" s="88"/>
      <c r="H822" s="94"/>
      <c r="I822" s="91"/>
      <c r="J822" s="94"/>
      <c r="K822" s="94"/>
      <c r="L822" s="94"/>
      <c r="M822" s="147"/>
      <c r="N822" s="147"/>
      <c r="O822" s="147"/>
      <c r="P822" s="147"/>
      <c r="Q822" s="94"/>
      <c r="R822" s="91"/>
      <c r="S822" s="148"/>
      <c r="T822" s="91"/>
      <c r="U822" s="101"/>
      <c r="V822" s="101"/>
      <c r="W822" s="101"/>
    </row>
    <row r="823">
      <c r="A823" s="94"/>
      <c r="B823" s="138"/>
      <c r="C823" s="120"/>
      <c r="D823" s="120"/>
      <c r="E823" s="120"/>
      <c r="F823" s="91"/>
      <c r="G823" s="88"/>
      <c r="H823" s="94"/>
      <c r="I823" s="91"/>
      <c r="J823" s="94"/>
      <c r="K823" s="94"/>
      <c r="L823" s="94"/>
      <c r="M823" s="147"/>
      <c r="N823" s="147"/>
      <c r="O823" s="147"/>
      <c r="P823" s="147"/>
      <c r="Q823" s="94"/>
      <c r="R823" s="91"/>
      <c r="S823" s="148"/>
      <c r="T823" s="91"/>
      <c r="U823" s="101"/>
      <c r="V823" s="101"/>
      <c r="W823" s="101"/>
    </row>
    <row r="824">
      <c r="A824" s="94"/>
      <c r="B824" s="138"/>
      <c r="C824" s="120"/>
      <c r="D824" s="120"/>
      <c r="E824" s="120"/>
      <c r="F824" s="91"/>
      <c r="G824" s="88"/>
      <c r="H824" s="94"/>
      <c r="I824" s="91"/>
      <c r="J824" s="94"/>
      <c r="K824" s="94"/>
      <c r="L824" s="94"/>
      <c r="M824" s="147"/>
      <c r="N824" s="147"/>
      <c r="O824" s="147"/>
      <c r="P824" s="147"/>
      <c r="Q824" s="94"/>
      <c r="R824" s="91"/>
      <c r="S824" s="148"/>
      <c r="T824" s="91"/>
      <c r="U824" s="101"/>
      <c r="V824" s="101"/>
      <c r="W824" s="101"/>
    </row>
    <row r="825">
      <c r="A825" s="94"/>
      <c r="B825" s="138"/>
      <c r="C825" s="120"/>
      <c r="D825" s="120"/>
      <c r="E825" s="120"/>
      <c r="F825" s="91"/>
      <c r="G825" s="88"/>
      <c r="H825" s="94"/>
      <c r="I825" s="91"/>
      <c r="J825" s="94"/>
      <c r="K825" s="94"/>
      <c r="L825" s="94"/>
      <c r="M825" s="147"/>
      <c r="N825" s="147"/>
      <c r="O825" s="147"/>
      <c r="P825" s="147"/>
      <c r="Q825" s="94"/>
      <c r="R825" s="91"/>
      <c r="S825" s="148"/>
      <c r="T825" s="91"/>
      <c r="U825" s="101"/>
      <c r="V825" s="101"/>
      <c r="W825" s="101"/>
    </row>
    <row r="826">
      <c r="A826" s="94"/>
      <c r="B826" s="138"/>
      <c r="C826" s="120"/>
      <c r="D826" s="120"/>
      <c r="E826" s="120"/>
      <c r="F826" s="91"/>
      <c r="G826" s="88"/>
      <c r="H826" s="94"/>
      <c r="I826" s="91"/>
      <c r="J826" s="94"/>
      <c r="K826" s="94"/>
      <c r="L826" s="94"/>
      <c r="M826" s="147"/>
      <c r="N826" s="147"/>
      <c r="O826" s="147"/>
      <c r="P826" s="147"/>
      <c r="Q826" s="94"/>
      <c r="R826" s="91"/>
      <c r="S826" s="148"/>
      <c r="T826" s="91"/>
      <c r="U826" s="101"/>
      <c r="V826" s="101"/>
      <c r="W826" s="101"/>
    </row>
    <row r="827">
      <c r="A827" s="94"/>
      <c r="B827" s="138"/>
      <c r="C827" s="120"/>
      <c r="D827" s="120"/>
      <c r="E827" s="120"/>
      <c r="F827" s="91"/>
      <c r="G827" s="88"/>
      <c r="H827" s="94"/>
      <c r="I827" s="91"/>
      <c r="J827" s="94"/>
      <c r="K827" s="94"/>
      <c r="L827" s="94"/>
      <c r="M827" s="147"/>
      <c r="N827" s="147"/>
      <c r="O827" s="147"/>
      <c r="P827" s="147"/>
      <c r="Q827" s="94"/>
      <c r="R827" s="91"/>
      <c r="S827" s="148"/>
      <c r="T827" s="91"/>
      <c r="U827" s="101"/>
      <c r="V827" s="101"/>
      <c r="W827" s="101"/>
    </row>
    <row r="828">
      <c r="A828" s="94"/>
      <c r="B828" s="138"/>
      <c r="C828" s="120"/>
      <c r="D828" s="120"/>
      <c r="E828" s="120"/>
      <c r="F828" s="91"/>
      <c r="G828" s="88"/>
      <c r="H828" s="94"/>
      <c r="I828" s="91"/>
      <c r="J828" s="94"/>
      <c r="K828" s="94"/>
      <c r="L828" s="94"/>
      <c r="M828" s="147"/>
      <c r="N828" s="147"/>
      <c r="O828" s="147"/>
      <c r="P828" s="147"/>
      <c r="Q828" s="94"/>
      <c r="R828" s="91"/>
      <c r="S828" s="148"/>
      <c r="T828" s="91"/>
      <c r="U828" s="101"/>
      <c r="V828" s="101"/>
      <c r="W828" s="101"/>
    </row>
    <row r="829">
      <c r="A829" s="94"/>
      <c r="B829" s="138"/>
      <c r="C829" s="120"/>
      <c r="D829" s="120"/>
      <c r="E829" s="120"/>
      <c r="F829" s="91"/>
      <c r="G829" s="88"/>
      <c r="H829" s="94"/>
      <c r="I829" s="91"/>
      <c r="J829" s="94"/>
      <c r="K829" s="94"/>
      <c r="L829" s="94"/>
      <c r="M829" s="147"/>
      <c r="N829" s="147"/>
      <c r="O829" s="147"/>
      <c r="P829" s="147"/>
      <c r="Q829" s="94"/>
      <c r="R829" s="91"/>
      <c r="S829" s="148"/>
      <c r="T829" s="91"/>
      <c r="U829" s="101"/>
      <c r="V829" s="101"/>
      <c r="W829" s="101"/>
    </row>
    <row r="830">
      <c r="A830" s="94"/>
      <c r="B830" s="138"/>
      <c r="C830" s="120"/>
      <c r="D830" s="120"/>
      <c r="E830" s="120"/>
      <c r="F830" s="91"/>
      <c r="G830" s="88"/>
      <c r="H830" s="94"/>
      <c r="I830" s="91"/>
      <c r="J830" s="94"/>
      <c r="K830" s="94"/>
      <c r="L830" s="94"/>
      <c r="M830" s="147"/>
      <c r="N830" s="147"/>
      <c r="O830" s="147"/>
      <c r="P830" s="147"/>
      <c r="Q830" s="94"/>
      <c r="R830" s="91"/>
      <c r="S830" s="148"/>
      <c r="T830" s="91"/>
      <c r="U830" s="101"/>
      <c r="V830" s="101"/>
      <c r="W830" s="101"/>
    </row>
    <row r="831">
      <c r="A831" s="94"/>
      <c r="B831" s="138"/>
      <c r="C831" s="120"/>
      <c r="D831" s="120"/>
      <c r="E831" s="120"/>
      <c r="F831" s="91"/>
      <c r="G831" s="88"/>
      <c r="H831" s="94"/>
      <c r="I831" s="91"/>
      <c r="J831" s="94"/>
      <c r="K831" s="94"/>
      <c r="L831" s="94"/>
      <c r="M831" s="147"/>
      <c r="N831" s="147"/>
      <c r="O831" s="147"/>
      <c r="P831" s="147"/>
      <c r="Q831" s="94"/>
      <c r="R831" s="91"/>
      <c r="S831" s="148"/>
      <c r="T831" s="91"/>
      <c r="U831" s="101"/>
      <c r="V831" s="101"/>
      <c r="W831" s="101"/>
    </row>
    <row r="832">
      <c r="A832" s="94"/>
      <c r="B832" s="138"/>
      <c r="C832" s="120"/>
      <c r="D832" s="120"/>
      <c r="E832" s="120"/>
      <c r="F832" s="91"/>
      <c r="G832" s="88"/>
      <c r="H832" s="94"/>
      <c r="I832" s="91"/>
      <c r="J832" s="94"/>
      <c r="K832" s="94"/>
      <c r="L832" s="94"/>
      <c r="M832" s="147"/>
      <c r="N832" s="147"/>
      <c r="O832" s="147"/>
      <c r="P832" s="147"/>
      <c r="Q832" s="94"/>
      <c r="R832" s="91"/>
      <c r="S832" s="148"/>
      <c r="T832" s="91"/>
      <c r="U832" s="101"/>
      <c r="V832" s="101"/>
      <c r="W832" s="101"/>
    </row>
    <row r="833">
      <c r="A833" s="94"/>
      <c r="B833" s="138"/>
      <c r="C833" s="120"/>
      <c r="D833" s="120"/>
      <c r="E833" s="120"/>
      <c r="F833" s="91"/>
      <c r="G833" s="88"/>
      <c r="H833" s="94"/>
      <c r="I833" s="91"/>
      <c r="J833" s="94"/>
      <c r="K833" s="94"/>
      <c r="L833" s="94"/>
      <c r="M833" s="147"/>
      <c r="N833" s="147"/>
      <c r="O833" s="147"/>
      <c r="P833" s="147"/>
      <c r="Q833" s="94"/>
      <c r="R833" s="91"/>
      <c r="S833" s="148"/>
      <c r="T833" s="91"/>
      <c r="U833" s="101"/>
      <c r="V833" s="101"/>
      <c r="W833" s="101"/>
    </row>
    <row r="834">
      <c r="A834" s="94"/>
      <c r="B834" s="138"/>
      <c r="C834" s="120"/>
      <c r="D834" s="120"/>
      <c r="E834" s="120"/>
      <c r="F834" s="91"/>
      <c r="G834" s="88"/>
      <c r="H834" s="94"/>
      <c r="I834" s="91"/>
      <c r="J834" s="94"/>
      <c r="K834" s="94"/>
      <c r="L834" s="94"/>
      <c r="M834" s="147"/>
      <c r="N834" s="147"/>
      <c r="O834" s="147"/>
      <c r="P834" s="147"/>
      <c r="Q834" s="94"/>
      <c r="R834" s="91"/>
      <c r="S834" s="148"/>
      <c r="T834" s="91"/>
      <c r="U834" s="101"/>
      <c r="V834" s="101"/>
      <c r="W834" s="101"/>
    </row>
    <row r="835">
      <c r="A835" s="94"/>
      <c r="B835" s="138"/>
      <c r="C835" s="120"/>
      <c r="D835" s="120"/>
      <c r="E835" s="120"/>
      <c r="F835" s="91"/>
      <c r="G835" s="88"/>
      <c r="H835" s="94"/>
      <c r="I835" s="91"/>
      <c r="J835" s="94"/>
      <c r="K835" s="94"/>
      <c r="L835" s="94"/>
      <c r="M835" s="147"/>
      <c r="N835" s="147"/>
      <c r="O835" s="147"/>
      <c r="P835" s="147"/>
      <c r="Q835" s="94"/>
      <c r="R835" s="91"/>
      <c r="S835" s="148"/>
      <c r="T835" s="91"/>
      <c r="U835" s="101"/>
      <c r="V835" s="101"/>
      <c r="W835" s="101"/>
    </row>
    <row r="836">
      <c r="A836" s="94"/>
      <c r="B836" s="138"/>
      <c r="C836" s="120"/>
      <c r="D836" s="120"/>
      <c r="E836" s="120"/>
      <c r="F836" s="91"/>
      <c r="G836" s="88"/>
      <c r="H836" s="94"/>
      <c r="I836" s="91"/>
      <c r="J836" s="94"/>
      <c r="K836" s="94"/>
      <c r="L836" s="94"/>
      <c r="M836" s="147"/>
      <c r="N836" s="147"/>
      <c r="O836" s="147"/>
      <c r="P836" s="147"/>
      <c r="Q836" s="94"/>
      <c r="R836" s="91"/>
      <c r="S836" s="148"/>
      <c r="T836" s="91"/>
      <c r="U836" s="101"/>
      <c r="V836" s="101"/>
      <c r="W836" s="101"/>
    </row>
    <row r="837">
      <c r="A837" s="94"/>
      <c r="B837" s="138"/>
      <c r="C837" s="120"/>
      <c r="D837" s="120"/>
      <c r="E837" s="120"/>
      <c r="F837" s="91"/>
      <c r="G837" s="88"/>
      <c r="H837" s="94"/>
      <c r="I837" s="91"/>
      <c r="J837" s="94"/>
      <c r="K837" s="94"/>
      <c r="L837" s="94"/>
      <c r="M837" s="147"/>
      <c r="N837" s="147"/>
      <c r="O837" s="147"/>
      <c r="P837" s="147"/>
      <c r="Q837" s="94"/>
      <c r="R837" s="91"/>
      <c r="S837" s="148"/>
      <c r="T837" s="91"/>
      <c r="U837" s="101"/>
      <c r="V837" s="101"/>
      <c r="W837" s="101"/>
    </row>
    <row r="838">
      <c r="A838" s="94"/>
      <c r="B838" s="138"/>
      <c r="C838" s="120"/>
      <c r="D838" s="120"/>
      <c r="E838" s="120"/>
      <c r="F838" s="91"/>
      <c r="G838" s="88"/>
      <c r="H838" s="94"/>
      <c r="I838" s="91"/>
      <c r="J838" s="94"/>
      <c r="K838" s="94"/>
      <c r="L838" s="94"/>
      <c r="M838" s="147"/>
      <c r="N838" s="147"/>
      <c r="O838" s="147"/>
      <c r="P838" s="147"/>
      <c r="Q838" s="94"/>
      <c r="R838" s="91"/>
      <c r="S838" s="148"/>
      <c r="T838" s="91"/>
      <c r="U838" s="101"/>
      <c r="V838" s="101"/>
      <c r="W838" s="101"/>
    </row>
    <row r="839">
      <c r="A839" s="94"/>
      <c r="B839" s="138"/>
      <c r="C839" s="120"/>
      <c r="D839" s="120"/>
      <c r="E839" s="120"/>
      <c r="F839" s="91"/>
      <c r="G839" s="88"/>
      <c r="H839" s="94"/>
      <c r="I839" s="91"/>
      <c r="J839" s="94"/>
      <c r="K839" s="94"/>
      <c r="L839" s="94"/>
      <c r="M839" s="147"/>
      <c r="N839" s="147"/>
      <c r="O839" s="147"/>
      <c r="P839" s="147"/>
      <c r="Q839" s="94"/>
      <c r="R839" s="91"/>
      <c r="S839" s="148"/>
      <c r="T839" s="91"/>
      <c r="U839" s="101"/>
      <c r="V839" s="101"/>
      <c r="W839" s="101"/>
    </row>
    <row r="840">
      <c r="A840" s="94"/>
      <c r="B840" s="138"/>
      <c r="C840" s="120"/>
      <c r="D840" s="120"/>
      <c r="E840" s="120"/>
      <c r="F840" s="91"/>
      <c r="G840" s="88"/>
      <c r="H840" s="94"/>
      <c r="I840" s="91"/>
      <c r="J840" s="94"/>
      <c r="K840" s="94"/>
      <c r="L840" s="94"/>
      <c r="M840" s="147"/>
      <c r="N840" s="147"/>
      <c r="O840" s="147"/>
      <c r="P840" s="147"/>
      <c r="Q840" s="94"/>
      <c r="R840" s="91"/>
      <c r="S840" s="148"/>
      <c r="T840" s="91"/>
      <c r="U840" s="101"/>
      <c r="V840" s="101"/>
      <c r="W840" s="101"/>
    </row>
    <row r="841">
      <c r="A841" s="94"/>
      <c r="B841" s="138"/>
      <c r="C841" s="120"/>
      <c r="D841" s="120"/>
      <c r="E841" s="120"/>
      <c r="F841" s="91"/>
      <c r="G841" s="88"/>
      <c r="H841" s="94"/>
      <c r="I841" s="91"/>
      <c r="J841" s="94"/>
      <c r="K841" s="94"/>
      <c r="L841" s="94"/>
      <c r="M841" s="147"/>
      <c r="N841" s="147"/>
      <c r="O841" s="147"/>
      <c r="P841" s="147"/>
      <c r="Q841" s="94"/>
      <c r="R841" s="91"/>
      <c r="S841" s="148"/>
      <c r="T841" s="91"/>
      <c r="U841" s="101"/>
      <c r="V841" s="101"/>
      <c r="W841" s="101"/>
    </row>
    <row r="842">
      <c r="A842" s="94"/>
      <c r="B842" s="138"/>
      <c r="C842" s="120"/>
      <c r="D842" s="120"/>
      <c r="E842" s="120"/>
      <c r="F842" s="91"/>
      <c r="G842" s="88"/>
      <c r="H842" s="94"/>
      <c r="I842" s="91"/>
      <c r="J842" s="94"/>
      <c r="K842" s="94"/>
      <c r="L842" s="94"/>
      <c r="M842" s="147"/>
      <c r="N842" s="147"/>
      <c r="O842" s="147"/>
      <c r="P842" s="147"/>
      <c r="Q842" s="94"/>
      <c r="R842" s="91"/>
      <c r="S842" s="148"/>
      <c r="T842" s="91"/>
      <c r="U842" s="101"/>
      <c r="V842" s="101"/>
      <c r="W842" s="101"/>
    </row>
    <row r="843">
      <c r="A843" s="94"/>
      <c r="B843" s="138"/>
      <c r="C843" s="120"/>
      <c r="D843" s="120"/>
      <c r="E843" s="120"/>
      <c r="F843" s="91"/>
      <c r="G843" s="88"/>
      <c r="H843" s="94"/>
      <c r="I843" s="91"/>
      <c r="J843" s="94"/>
      <c r="K843" s="94"/>
      <c r="L843" s="94"/>
      <c r="M843" s="147"/>
      <c r="N843" s="147"/>
      <c r="O843" s="147"/>
      <c r="P843" s="147"/>
      <c r="Q843" s="94"/>
      <c r="R843" s="91"/>
      <c r="S843" s="148"/>
      <c r="T843" s="91"/>
      <c r="U843" s="101"/>
      <c r="V843" s="101"/>
      <c r="W843" s="101"/>
    </row>
    <row r="844">
      <c r="A844" s="94"/>
      <c r="B844" s="138"/>
      <c r="C844" s="120"/>
      <c r="D844" s="120"/>
      <c r="E844" s="120"/>
      <c r="F844" s="91"/>
      <c r="G844" s="88"/>
      <c r="H844" s="94"/>
      <c r="I844" s="91"/>
      <c r="J844" s="94"/>
      <c r="K844" s="94"/>
      <c r="L844" s="94"/>
      <c r="M844" s="147"/>
      <c r="N844" s="147"/>
      <c r="O844" s="147"/>
      <c r="P844" s="147"/>
      <c r="Q844" s="94"/>
      <c r="R844" s="91"/>
      <c r="S844" s="148"/>
      <c r="T844" s="91"/>
      <c r="U844" s="101"/>
      <c r="V844" s="101"/>
      <c r="W844" s="101"/>
    </row>
    <row r="845">
      <c r="A845" s="94"/>
      <c r="B845" s="138"/>
      <c r="C845" s="120"/>
      <c r="D845" s="120"/>
      <c r="E845" s="120"/>
      <c r="F845" s="91"/>
      <c r="G845" s="88"/>
      <c r="H845" s="94"/>
      <c r="I845" s="91"/>
      <c r="J845" s="94"/>
      <c r="K845" s="94"/>
      <c r="L845" s="94"/>
      <c r="M845" s="147"/>
      <c r="N845" s="147"/>
      <c r="O845" s="147"/>
      <c r="P845" s="147"/>
      <c r="Q845" s="94"/>
      <c r="R845" s="91"/>
      <c r="S845" s="148"/>
      <c r="T845" s="91"/>
      <c r="U845" s="101"/>
      <c r="V845" s="101"/>
      <c r="W845" s="101"/>
    </row>
    <row r="846">
      <c r="A846" s="94"/>
      <c r="B846" s="138"/>
      <c r="C846" s="120"/>
      <c r="D846" s="120"/>
      <c r="E846" s="120"/>
      <c r="F846" s="91"/>
      <c r="G846" s="88"/>
      <c r="H846" s="94"/>
      <c r="I846" s="91"/>
      <c r="J846" s="94"/>
      <c r="K846" s="94"/>
      <c r="L846" s="94"/>
      <c r="M846" s="147"/>
      <c r="N846" s="147"/>
      <c r="O846" s="147"/>
      <c r="P846" s="147"/>
      <c r="Q846" s="94"/>
      <c r="R846" s="91"/>
      <c r="S846" s="148"/>
      <c r="T846" s="91"/>
      <c r="U846" s="101"/>
      <c r="V846" s="101"/>
      <c r="W846" s="101"/>
    </row>
    <row r="847">
      <c r="A847" s="94"/>
      <c r="B847" s="138"/>
      <c r="C847" s="120"/>
      <c r="D847" s="120"/>
      <c r="E847" s="120"/>
      <c r="F847" s="91"/>
      <c r="G847" s="88"/>
      <c r="H847" s="94"/>
      <c r="I847" s="91"/>
      <c r="J847" s="94"/>
      <c r="K847" s="94"/>
      <c r="L847" s="94"/>
      <c r="M847" s="147"/>
      <c r="N847" s="147"/>
      <c r="O847" s="147"/>
      <c r="P847" s="147"/>
      <c r="Q847" s="94"/>
      <c r="R847" s="91"/>
      <c r="S847" s="148"/>
      <c r="T847" s="91"/>
      <c r="U847" s="101"/>
      <c r="V847" s="101"/>
      <c r="W847" s="101"/>
    </row>
    <row r="848">
      <c r="A848" s="94"/>
      <c r="B848" s="138"/>
      <c r="C848" s="120"/>
      <c r="D848" s="120"/>
      <c r="E848" s="120"/>
      <c r="F848" s="91"/>
      <c r="G848" s="88"/>
      <c r="H848" s="94"/>
      <c r="I848" s="91"/>
      <c r="J848" s="94"/>
      <c r="K848" s="94"/>
      <c r="L848" s="94"/>
      <c r="M848" s="147"/>
      <c r="N848" s="147"/>
      <c r="O848" s="147"/>
      <c r="P848" s="147"/>
      <c r="Q848" s="94"/>
      <c r="R848" s="91"/>
      <c r="S848" s="148"/>
      <c r="T848" s="91"/>
      <c r="U848" s="101"/>
      <c r="V848" s="101"/>
      <c r="W848" s="101"/>
    </row>
    <row r="849">
      <c r="A849" s="94"/>
      <c r="B849" s="138"/>
      <c r="C849" s="120"/>
      <c r="D849" s="120"/>
      <c r="E849" s="120"/>
      <c r="F849" s="91"/>
      <c r="G849" s="88"/>
      <c r="H849" s="94"/>
      <c r="I849" s="91"/>
      <c r="J849" s="94"/>
      <c r="K849" s="94"/>
      <c r="L849" s="94"/>
      <c r="M849" s="147"/>
      <c r="N849" s="147"/>
      <c r="O849" s="147"/>
      <c r="P849" s="147"/>
      <c r="Q849" s="94"/>
      <c r="R849" s="91"/>
      <c r="S849" s="148"/>
      <c r="T849" s="91"/>
      <c r="U849" s="101"/>
      <c r="V849" s="101"/>
      <c r="W849" s="101"/>
    </row>
    <row r="850">
      <c r="A850" s="94"/>
      <c r="B850" s="138"/>
      <c r="C850" s="120"/>
      <c r="D850" s="120"/>
      <c r="E850" s="120"/>
      <c r="F850" s="91"/>
      <c r="G850" s="88"/>
      <c r="H850" s="94"/>
      <c r="I850" s="91"/>
      <c r="J850" s="94"/>
      <c r="K850" s="94"/>
      <c r="L850" s="94"/>
      <c r="M850" s="147"/>
      <c r="N850" s="147"/>
      <c r="O850" s="147"/>
      <c r="P850" s="147"/>
      <c r="Q850" s="94"/>
      <c r="R850" s="91"/>
      <c r="S850" s="148"/>
      <c r="T850" s="91"/>
      <c r="U850" s="101"/>
      <c r="V850" s="101"/>
      <c r="W850" s="101"/>
    </row>
    <row r="851">
      <c r="A851" s="94"/>
      <c r="B851" s="138"/>
      <c r="C851" s="120"/>
      <c r="D851" s="120"/>
      <c r="E851" s="120"/>
      <c r="F851" s="91"/>
      <c r="G851" s="88"/>
      <c r="H851" s="94"/>
      <c r="I851" s="91"/>
      <c r="J851" s="94"/>
      <c r="K851" s="94"/>
      <c r="L851" s="94"/>
      <c r="M851" s="147"/>
      <c r="N851" s="147"/>
      <c r="O851" s="147"/>
      <c r="P851" s="147"/>
      <c r="Q851" s="94"/>
      <c r="R851" s="91"/>
      <c r="S851" s="148"/>
      <c r="T851" s="91"/>
      <c r="U851" s="101"/>
      <c r="V851" s="101"/>
      <c r="W851" s="101"/>
    </row>
    <row r="852">
      <c r="A852" s="94"/>
      <c r="B852" s="138"/>
      <c r="C852" s="120"/>
      <c r="D852" s="120"/>
      <c r="E852" s="120"/>
      <c r="F852" s="91"/>
      <c r="G852" s="88"/>
      <c r="H852" s="94"/>
      <c r="I852" s="91"/>
      <c r="J852" s="94"/>
      <c r="K852" s="94"/>
      <c r="L852" s="94"/>
      <c r="M852" s="147"/>
      <c r="N852" s="147"/>
      <c r="O852" s="147"/>
      <c r="P852" s="147"/>
      <c r="Q852" s="94"/>
      <c r="R852" s="91"/>
      <c r="S852" s="148"/>
      <c r="T852" s="91"/>
      <c r="U852" s="101"/>
      <c r="V852" s="101"/>
      <c r="W852" s="101"/>
    </row>
    <row r="853">
      <c r="A853" s="94"/>
      <c r="B853" s="138"/>
      <c r="C853" s="120"/>
      <c r="D853" s="120"/>
      <c r="E853" s="120"/>
      <c r="F853" s="91"/>
      <c r="G853" s="88"/>
      <c r="H853" s="94"/>
      <c r="I853" s="91"/>
      <c r="J853" s="94"/>
      <c r="K853" s="94"/>
      <c r="L853" s="94"/>
      <c r="M853" s="147"/>
      <c r="N853" s="147"/>
      <c r="O853" s="147"/>
      <c r="P853" s="147"/>
      <c r="Q853" s="94"/>
      <c r="R853" s="91"/>
      <c r="S853" s="148"/>
      <c r="T853" s="91"/>
      <c r="U853" s="101"/>
      <c r="V853" s="101"/>
      <c r="W853" s="101"/>
    </row>
    <row r="854">
      <c r="A854" s="94"/>
      <c r="B854" s="138"/>
      <c r="C854" s="120"/>
      <c r="D854" s="120"/>
      <c r="E854" s="120"/>
      <c r="F854" s="91"/>
      <c r="G854" s="88"/>
      <c r="H854" s="94"/>
      <c r="I854" s="91"/>
      <c r="J854" s="94"/>
      <c r="K854" s="94"/>
      <c r="L854" s="94"/>
      <c r="M854" s="147"/>
      <c r="N854" s="147"/>
      <c r="O854" s="147"/>
      <c r="P854" s="147"/>
      <c r="Q854" s="94"/>
      <c r="R854" s="91"/>
      <c r="S854" s="148"/>
      <c r="T854" s="91"/>
      <c r="U854" s="101"/>
      <c r="V854" s="101"/>
      <c r="W854" s="101"/>
    </row>
    <row r="855">
      <c r="A855" s="94"/>
      <c r="B855" s="138"/>
      <c r="C855" s="120"/>
      <c r="D855" s="120"/>
      <c r="E855" s="120"/>
      <c r="F855" s="91"/>
      <c r="G855" s="88"/>
      <c r="H855" s="94"/>
      <c r="I855" s="91"/>
      <c r="J855" s="94"/>
      <c r="K855" s="94"/>
      <c r="L855" s="94"/>
      <c r="M855" s="147"/>
      <c r="N855" s="147"/>
      <c r="O855" s="147"/>
      <c r="P855" s="147"/>
      <c r="Q855" s="94"/>
      <c r="R855" s="91"/>
      <c r="S855" s="148"/>
      <c r="T855" s="91"/>
      <c r="U855" s="101"/>
      <c r="V855" s="101"/>
      <c r="W855" s="101"/>
    </row>
    <row r="856">
      <c r="A856" s="94"/>
      <c r="B856" s="138"/>
      <c r="C856" s="120"/>
      <c r="D856" s="120"/>
      <c r="E856" s="120"/>
      <c r="F856" s="91"/>
      <c r="G856" s="88"/>
      <c r="H856" s="94"/>
      <c r="I856" s="91"/>
      <c r="J856" s="94"/>
      <c r="K856" s="94"/>
      <c r="L856" s="94"/>
      <c r="M856" s="147"/>
      <c r="N856" s="147"/>
      <c r="O856" s="147"/>
      <c r="P856" s="147"/>
      <c r="Q856" s="94"/>
      <c r="R856" s="91"/>
      <c r="S856" s="148"/>
      <c r="T856" s="91"/>
      <c r="U856" s="101"/>
      <c r="V856" s="101"/>
      <c r="W856" s="101"/>
    </row>
    <row r="857">
      <c r="A857" s="94"/>
      <c r="B857" s="138"/>
      <c r="C857" s="120"/>
      <c r="D857" s="120"/>
      <c r="E857" s="120"/>
      <c r="F857" s="91"/>
      <c r="G857" s="88"/>
      <c r="H857" s="94"/>
      <c r="I857" s="91"/>
      <c r="J857" s="94"/>
      <c r="K857" s="94"/>
      <c r="L857" s="94"/>
      <c r="M857" s="147"/>
      <c r="N857" s="147"/>
      <c r="O857" s="147"/>
      <c r="P857" s="147"/>
      <c r="Q857" s="94"/>
      <c r="R857" s="91"/>
      <c r="S857" s="148"/>
      <c r="T857" s="91"/>
      <c r="U857" s="101"/>
      <c r="V857" s="101"/>
      <c r="W857" s="101"/>
    </row>
    <row r="858">
      <c r="A858" s="94"/>
      <c r="B858" s="138"/>
      <c r="C858" s="120"/>
      <c r="D858" s="120"/>
      <c r="E858" s="120"/>
      <c r="F858" s="91"/>
      <c r="G858" s="88"/>
      <c r="H858" s="94"/>
      <c r="I858" s="91"/>
      <c r="J858" s="94"/>
      <c r="K858" s="94"/>
      <c r="L858" s="94"/>
      <c r="M858" s="147"/>
      <c r="N858" s="147"/>
      <c r="O858" s="147"/>
      <c r="P858" s="147"/>
      <c r="Q858" s="94"/>
      <c r="R858" s="91"/>
      <c r="S858" s="148"/>
      <c r="T858" s="91"/>
      <c r="U858" s="101"/>
      <c r="V858" s="101"/>
      <c r="W858" s="101"/>
    </row>
    <row r="859">
      <c r="A859" s="94"/>
      <c r="B859" s="138"/>
      <c r="C859" s="120"/>
      <c r="D859" s="120"/>
      <c r="E859" s="120"/>
      <c r="F859" s="91"/>
      <c r="G859" s="88"/>
      <c r="H859" s="94"/>
      <c r="I859" s="91"/>
      <c r="J859" s="94"/>
      <c r="K859" s="94"/>
      <c r="L859" s="94"/>
      <c r="M859" s="147"/>
      <c r="N859" s="147"/>
      <c r="O859" s="147"/>
      <c r="P859" s="147"/>
      <c r="Q859" s="94"/>
      <c r="R859" s="91"/>
      <c r="S859" s="148"/>
      <c r="T859" s="91"/>
      <c r="U859" s="101"/>
      <c r="V859" s="101"/>
      <c r="W859" s="101"/>
    </row>
    <row r="860">
      <c r="A860" s="94"/>
      <c r="B860" s="138"/>
      <c r="C860" s="120"/>
      <c r="D860" s="120"/>
      <c r="E860" s="120"/>
      <c r="F860" s="91"/>
      <c r="G860" s="88"/>
      <c r="H860" s="94"/>
      <c r="I860" s="91"/>
      <c r="J860" s="94"/>
      <c r="K860" s="94"/>
      <c r="L860" s="94"/>
      <c r="M860" s="147"/>
      <c r="N860" s="147"/>
      <c r="O860" s="147"/>
      <c r="P860" s="147"/>
      <c r="Q860" s="94"/>
      <c r="R860" s="91"/>
      <c r="S860" s="148"/>
      <c r="T860" s="91"/>
      <c r="U860" s="101"/>
      <c r="V860" s="101"/>
      <c r="W860" s="101"/>
    </row>
    <row r="861">
      <c r="A861" s="94"/>
      <c r="B861" s="138"/>
      <c r="C861" s="120"/>
      <c r="D861" s="120"/>
      <c r="E861" s="120"/>
      <c r="F861" s="91"/>
      <c r="G861" s="88"/>
      <c r="H861" s="94"/>
      <c r="I861" s="91"/>
      <c r="J861" s="94"/>
      <c r="K861" s="94"/>
      <c r="L861" s="94"/>
      <c r="M861" s="147"/>
      <c r="N861" s="147"/>
      <c r="O861" s="147"/>
      <c r="P861" s="147"/>
      <c r="Q861" s="94"/>
      <c r="R861" s="91"/>
      <c r="S861" s="148"/>
      <c r="T861" s="91"/>
      <c r="U861" s="101"/>
      <c r="V861" s="101"/>
      <c r="W861" s="101"/>
    </row>
    <row r="862">
      <c r="A862" s="94"/>
      <c r="B862" s="138"/>
      <c r="C862" s="120"/>
      <c r="D862" s="120"/>
      <c r="E862" s="120"/>
      <c r="F862" s="91"/>
      <c r="G862" s="88"/>
      <c r="H862" s="94"/>
      <c r="I862" s="91"/>
      <c r="J862" s="94"/>
      <c r="K862" s="94"/>
      <c r="L862" s="94"/>
      <c r="M862" s="147"/>
      <c r="N862" s="147"/>
      <c r="O862" s="147"/>
      <c r="P862" s="147"/>
      <c r="Q862" s="94"/>
      <c r="R862" s="91"/>
      <c r="S862" s="148"/>
      <c r="T862" s="91"/>
      <c r="U862" s="101"/>
      <c r="V862" s="101"/>
      <c r="W862" s="101"/>
    </row>
    <row r="863">
      <c r="A863" s="94"/>
      <c r="B863" s="138"/>
      <c r="C863" s="120"/>
      <c r="D863" s="120"/>
      <c r="E863" s="120"/>
      <c r="F863" s="91"/>
      <c r="G863" s="88"/>
      <c r="H863" s="94"/>
      <c r="I863" s="91"/>
      <c r="J863" s="94"/>
      <c r="K863" s="94"/>
      <c r="L863" s="94"/>
      <c r="M863" s="147"/>
      <c r="N863" s="147"/>
      <c r="O863" s="147"/>
      <c r="P863" s="147"/>
      <c r="Q863" s="94"/>
      <c r="R863" s="91"/>
      <c r="S863" s="148"/>
      <c r="T863" s="91"/>
      <c r="U863" s="101"/>
      <c r="V863" s="101"/>
      <c r="W863" s="101"/>
    </row>
    <row r="864">
      <c r="A864" s="94"/>
      <c r="B864" s="138"/>
      <c r="C864" s="120"/>
      <c r="D864" s="120"/>
      <c r="E864" s="120"/>
      <c r="F864" s="91"/>
      <c r="G864" s="88"/>
      <c r="H864" s="94"/>
      <c r="I864" s="91"/>
      <c r="J864" s="94"/>
      <c r="K864" s="94"/>
      <c r="L864" s="94"/>
      <c r="M864" s="147"/>
      <c r="N864" s="147"/>
      <c r="O864" s="147"/>
      <c r="P864" s="147"/>
      <c r="Q864" s="94"/>
      <c r="R864" s="91"/>
      <c r="S864" s="148"/>
      <c r="T864" s="91"/>
      <c r="U864" s="101"/>
      <c r="V864" s="101"/>
      <c r="W864" s="101"/>
    </row>
    <row r="865">
      <c r="A865" s="94"/>
      <c r="B865" s="138"/>
      <c r="C865" s="120"/>
      <c r="D865" s="120"/>
      <c r="E865" s="120"/>
      <c r="F865" s="91"/>
      <c r="G865" s="88"/>
      <c r="H865" s="94"/>
      <c r="I865" s="91"/>
      <c r="J865" s="94"/>
      <c r="K865" s="94"/>
      <c r="L865" s="94"/>
      <c r="M865" s="147"/>
      <c r="N865" s="147"/>
      <c r="O865" s="147"/>
      <c r="P865" s="147"/>
      <c r="Q865" s="94"/>
      <c r="R865" s="91"/>
      <c r="S865" s="148"/>
      <c r="T865" s="91"/>
      <c r="U865" s="101"/>
      <c r="V865" s="101"/>
      <c r="W865" s="101"/>
    </row>
    <row r="866">
      <c r="A866" s="94"/>
      <c r="B866" s="138"/>
      <c r="C866" s="120"/>
      <c r="D866" s="120"/>
      <c r="E866" s="120"/>
      <c r="F866" s="91"/>
      <c r="G866" s="88"/>
      <c r="H866" s="94"/>
      <c r="I866" s="91"/>
      <c r="J866" s="94"/>
      <c r="K866" s="94"/>
      <c r="L866" s="94"/>
      <c r="M866" s="147"/>
      <c r="N866" s="147"/>
      <c r="O866" s="147"/>
      <c r="P866" s="147"/>
      <c r="Q866" s="94"/>
      <c r="R866" s="91"/>
      <c r="S866" s="148"/>
      <c r="T866" s="91"/>
      <c r="U866" s="101"/>
      <c r="V866" s="101"/>
      <c r="W866" s="101"/>
    </row>
    <row r="867">
      <c r="A867" s="94"/>
      <c r="B867" s="138"/>
      <c r="C867" s="120"/>
      <c r="D867" s="120"/>
      <c r="E867" s="120"/>
      <c r="F867" s="91"/>
      <c r="G867" s="88"/>
      <c r="H867" s="94"/>
      <c r="I867" s="91"/>
      <c r="J867" s="94"/>
      <c r="K867" s="94"/>
      <c r="L867" s="94"/>
      <c r="M867" s="147"/>
      <c r="N867" s="147"/>
      <c r="O867" s="147"/>
      <c r="P867" s="147"/>
      <c r="Q867" s="94"/>
      <c r="R867" s="91"/>
      <c r="S867" s="148"/>
      <c r="T867" s="91"/>
      <c r="U867" s="101"/>
      <c r="V867" s="101"/>
      <c r="W867" s="101"/>
    </row>
    <row r="868">
      <c r="A868" s="94"/>
      <c r="B868" s="138"/>
      <c r="C868" s="120"/>
      <c r="D868" s="120"/>
      <c r="E868" s="120"/>
      <c r="F868" s="91"/>
      <c r="G868" s="88"/>
      <c r="H868" s="94"/>
      <c r="I868" s="91"/>
      <c r="J868" s="94"/>
      <c r="K868" s="94"/>
      <c r="L868" s="94"/>
      <c r="M868" s="147"/>
      <c r="N868" s="147"/>
      <c r="O868" s="147"/>
      <c r="P868" s="147"/>
      <c r="Q868" s="94"/>
      <c r="R868" s="91"/>
      <c r="S868" s="148"/>
      <c r="T868" s="91"/>
      <c r="U868" s="101"/>
      <c r="V868" s="101"/>
      <c r="W868" s="101"/>
    </row>
    <row r="869">
      <c r="A869" s="94"/>
      <c r="B869" s="138"/>
      <c r="C869" s="120"/>
      <c r="D869" s="120"/>
      <c r="E869" s="120"/>
      <c r="F869" s="91"/>
      <c r="G869" s="88"/>
      <c r="H869" s="94"/>
      <c r="I869" s="91"/>
      <c r="J869" s="94"/>
      <c r="K869" s="94"/>
      <c r="L869" s="94"/>
      <c r="M869" s="147"/>
      <c r="N869" s="147"/>
      <c r="O869" s="147"/>
      <c r="P869" s="147"/>
      <c r="Q869" s="94"/>
      <c r="R869" s="91"/>
      <c r="S869" s="148"/>
      <c r="T869" s="91"/>
      <c r="U869" s="101"/>
      <c r="V869" s="101"/>
      <c r="W869" s="101"/>
    </row>
    <row r="870">
      <c r="A870" s="94"/>
      <c r="B870" s="138"/>
      <c r="C870" s="120"/>
      <c r="D870" s="120"/>
      <c r="E870" s="120"/>
      <c r="F870" s="91"/>
      <c r="G870" s="88"/>
      <c r="H870" s="94"/>
      <c r="I870" s="91"/>
      <c r="J870" s="94"/>
      <c r="K870" s="94"/>
      <c r="L870" s="94"/>
      <c r="M870" s="147"/>
      <c r="N870" s="147"/>
      <c r="O870" s="147"/>
      <c r="P870" s="147"/>
      <c r="Q870" s="94"/>
      <c r="R870" s="91"/>
      <c r="S870" s="148"/>
      <c r="T870" s="91"/>
      <c r="U870" s="101"/>
      <c r="V870" s="101"/>
      <c r="W870" s="101"/>
    </row>
    <row r="871">
      <c r="A871" s="94"/>
      <c r="B871" s="138"/>
      <c r="C871" s="120"/>
      <c r="D871" s="120"/>
      <c r="E871" s="120"/>
      <c r="F871" s="91"/>
      <c r="G871" s="88"/>
      <c r="H871" s="94"/>
      <c r="I871" s="91"/>
      <c r="J871" s="94"/>
      <c r="K871" s="94"/>
      <c r="L871" s="94"/>
      <c r="M871" s="147"/>
      <c r="N871" s="147"/>
      <c r="O871" s="147"/>
      <c r="P871" s="147"/>
      <c r="Q871" s="94"/>
      <c r="R871" s="91"/>
      <c r="S871" s="148"/>
      <c r="T871" s="91"/>
      <c r="U871" s="101"/>
      <c r="V871" s="101"/>
      <c r="W871" s="101"/>
    </row>
    <row r="872">
      <c r="A872" s="94"/>
      <c r="B872" s="138"/>
      <c r="C872" s="120"/>
      <c r="D872" s="120"/>
      <c r="E872" s="120"/>
      <c r="F872" s="91"/>
      <c r="G872" s="88"/>
      <c r="H872" s="94"/>
      <c r="I872" s="91"/>
      <c r="J872" s="94"/>
      <c r="K872" s="94"/>
      <c r="L872" s="94"/>
      <c r="M872" s="147"/>
      <c r="N872" s="147"/>
      <c r="O872" s="147"/>
      <c r="P872" s="147"/>
      <c r="Q872" s="94"/>
      <c r="R872" s="91"/>
      <c r="S872" s="148"/>
      <c r="T872" s="91"/>
      <c r="U872" s="101"/>
      <c r="V872" s="101"/>
      <c r="W872" s="101"/>
    </row>
    <row r="873">
      <c r="A873" s="94"/>
      <c r="B873" s="138"/>
      <c r="C873" s="120"/>
      <c r="D873" s="120"/>
      <c r="E873" s="120"/>
      <c r="F873" s="91"/>
      <c r="G873" s="88"/>
      <c r="H873" s="94"/>
      <c r="I873" s="91"/>
      <c r="J873" s="94"/>
      <c r="K873" s="94"/>
      <c r="L873" s="94"/>
      <c r="M873" s="147"/>
      <c r="N873" s="147"/>
      <c r="O873" s="147"/>
      <c r="P873" s="147"/>
      <c r="Q873" s="94"/>
      <c r="R873" s="91"/>
      <c r="S873" s="148"/>
      <c r="T873" s="91"/>
      <c r="U873" s="101"/>
      <c r="V873" s="101"/>
      <c r="W873" s="101"/>
    </row>
    <row r="874">
      <c r="A874" s="94"/>
      <c r="B874" s="138"/>
      <c r="C874" s="120"/>
      <c r="D874" s="120"/>
      <c r="E874" s="120"/>
      <c r="F874" s="91"/>
      <c r="G874" s="88"/>
      <c r="H874" s="94"/>
      <c r="I874" s="91"/>
      <c r="J874" s="94"/>
      <c r="K874" s="94"/>
      <c r="L874" s="94"/>
      <c r="M874" s="147"/>
      <c r="N874" s="147"/>
      <c r="O874" s="147"/>
      <c r="P874" s="147"/>
      <c r="Q874" s="94"/>
      <c r="R874" s="91"/>
      <c r="S874" s="148"/>
      <c r="T874" s="91"/>
      <c r="U874" s="101"/>
      <c r="V874" s="101"/>
      <c r="W874" s="101"/>
    </row>
    <row r="875">
      <c r="A875" s="94"/>
      <c r="B875" s="138"/>
      <c r="C875" s="120"/>
      <c r="D875" s="120"/>
      <c r="E875" s="120"/>
      <c r="F875" s="91"/>
      <c r="G875" s="88"/>
      <c r="H875" s="94"/>
      <c r="I875" s="91"/>
      <c r="J875" s="94"/>
      <c r="K875" s="94"/>
      <c r="L875" s="94"/>
      <c r="M875" s="147"/>
      <c r="N875" s="147"/>
      <c r="O875" s="147"/>
      <c r="P875" s="147"/>
      <c r="Q875" s="94"/>
      <c r="R875" s="91"/>
      <c r="S875" s="148"/>
      <c r="T875" s="91"/>
      <c r="U875" s="101"/>
      <c r="V875" s="101"/>
      <c r="W875" s="101"/>
    </row>
    <row r="876">
      <c r="A876" s="94"/>
      <c r="B876" s="138"/>
      <c r="C876" s="120"/>
      <c r="D876" s="120"/>
      <c r="E876" s="120"/>
      <c r="F876" s="91"/>
      <c r="G876" s="88"/>
      <c r="H876" s="94"/>
      <c r="I876" s="91"/>
      <c r="J876" s="94"/>
      <c r="K876" s="94"/>
      <c r="L876" s="94"/>
      <c r="M876" s="147"/>
      <c r="N876" s="147"/>
      <c r="O876" s="147"/>
      <c r="P876" s="147"/>
      <c r="Q876" s="94"/>
      <c r="R876" s="91"/>
      <c r="S876" s="148"/>
      <c r="T876" s="91"/>
      <c r="U876" s="101"/>
      <c r="V876" s="101"/>
      <c r="W876" s="101"/>
    </row>
    <row r="877">
      <c r="A877" s="94"/>
      <c r="B877" s="138"/>
      <c r="C877" s="120"/>
      <c r="D877" s="120"/>
      <c r="E877" s="120"/>
      <c r="F877" s="91"/>
      <c r="G877" s="88"/>
      <c r="H877" s="94"/>
      <c r="I877" s="91"/>
      <c r="J877" s="94"/>
      <c r="K877" s="94"/>
      <c r="L877" s="94"/>
      <c r="M877" s="147"/>
      <c r="N877" s="147"/>
      <c r="O877" s="147"/>
      <c r="P877" s="147"/>
      <c r="Q877" s="94"/>
      <c r="R877" s="91"/>
      <c r="S877" s="148"/>
      <c r="T877" s="91"/>
      <c r="U877" s="101"/>
      <c r="V877" s="101"/>
      <c r="W877" s="101"/>
    </row>
    <row r="878">
      <c r="A878" s="94"/>
      <c r="B878" s="138"/>
      <c r="C878" s="120"/>
      <c r="D878" s="120"/>
      <c r="E878" s="120"/>
      <c r="F878" s="91"/>
      <c r="G878" s="88"/>
      <c r="H878" s="94"/>
      <c r="I878" s="91"/>
      <c r="J878" s="94"/>
      <c r="K878" s="94"/>
      <c r="L878" s="94"/>
      <c r="M878" s="147"/>
      <c r="N878" s="147"/>
      <c r="O878" s="147"/>
      <c r="P878" s="147"/>
      <c r="Q878" s="94"/>
      <c r="R878" s="91"/>
      <c r="S878" s="148"/>
      <c r="T878" s="91"/>
      <c r="U878" s="101"/>
      <c r="V878" s="101"/>
      <c r="W878" s="101"/>
    </row>
    <row r="879">
      <c r="A879" s="94"/>
      <c r="B879" s="138"/>
      <c r="C879" s="120"/>
      <c r="D879" s="120"/>
      <c r="E879" s="120"/>
      <c r="F879" s="91"/>
      <c r="G879" s="88"/>
      <c r="H879" s="94"/>
      <c r="I879" s="91"/>
      <c r="J879" s="94"/>
      <c r="K879" s="94"/>
      <c r="L879" s="94"/>
      <c r="M879" s="147"/>
      <c r="N879" s="147"/>
      <c r="O879" s="147"/>
      <c r="P879" s="147"/>
      <c r="Q879" s="94"/>
      <c r="R879" s="91"/>
      <c r="S879" s="148"/>
      <c r="T879" s="91"/>
      <c r="U879" s="101"/>
      <c r="V879" s="101"/>
      <c r="W879" s="101"/>
    </row>
    <row r="880">
      <c r="A880" s="94"/>
      <c r="B880" s="138"/>
      <c r="C880" s="120"/>
      <c r="D880" s="120"/>
      <c r="E880" s="120"/>
      <c r="F880" s="91"/>
      <c r="G880" s="88"/>
      <c r="H880" s="94"/>
      <c r="I880" s="91"/>
      <c r="J880" s="94"/>
      <c r="K880" s="94"/>
      <c r="L880" s="94"/>
      <c r="M880" s="147"/>
      <c r="N880" s="147"/>
      <c r="O880" s="147"/>
      <c r="P880" s="147"/>
      <c r="Q880" s="94"/>
      <c r="R880" s="91"/>
      <c r="S880" s="148"/>
      <c r="T880" s="91"/>
      <c r="U880" s="101"/>
      <c r="V880" s="101"/>
      <c r="W880" s="101"/>
    </row>
    <row r="881">
      <c r="A881" s="94"/>
      <c r="B881" s="138"/>
      <c r="C881" s="120"/>
      <c r="D881" s="120"/>
      <c r="E881" s="120"/>
      <c r="F881" s="91"/>
      <c r="G881" s="88"/>
      <c r="H881" s="94"/>
      <c r="I881" s="91"/>
      <c r="J881" s="94"/>
      <c r="K881" s="94"/>
      <c r="L881" s="94"/>
      <c r="M881" s="147"/>
      <c r="N881" s="147"/>
      <c r="O881" s="147"/>
      <c r="P881" s="147"/>
      <c r="Q881" s="94"/>
      <c r="R881" s="91"/>
      <c r="S881" s="148"/>
      <c r="T881" s="91"/>
      <c r="U881" s="101"/>
      <c r="V881" s="101"/>
      <c r="W881" s="101"/>
    </row>
    <row r="882">
      <c r="A882" s="94"/>
      <c r="B882" s="138"/>
      <c r="C882" s="120"/>
      <c r="D882" s="120"/>
      <c r="E882" s="120"/>
      <c r="F882" s="91"/>
      <c r="G882" s="88"/>
      <c r="H882" s="94"/>
      <c r="I882" s="91"/>
      <c r="J882" s="94"/>
      <c r="K882" s="94"/>
      <c r="L882" s="94"/>
      <c r="M882" s="147"/>
      <c r="N882" s="147"/>
      <c r="O882" s="147"/>
      <c r="P882" s="147"/>
      <c r="Q882" s="94"/>
      <c r="R882" s="91"/>
      <c r="S882" s="148"/>
      <c r="T882" s="91"/>
      <c r="U882" s="101"/>
      <c r="V882" s="101"/>
      <c r="W882" s="101"/>
    </row>
    <row r="883">
      <c r="A883" s="94"/>
      <c r="B883" s="138"/>
      <c r="C883" s="120"/>
      <c r="D883" s="120"/>
      <c r="E883" s="120"/>
      <c r="F883" s="91"/>
      <c r="G883" s="88"/>
      <c r="H883" s="94"/>
      <c r="I883" s="91"/>
      <c r="J883" s="94"/>
      <c r="K883" s="94"/>
      <c r="L883" s="94"/>
      <c r="M883" s="147"/>
      <c r="N883" s="147"/>
      <c r="O883" s="147"/>
      <c r="P883" s="147"/>
      <c r="Q883" s="94"/>
      <c r="R883" s="91"/>
      <c r="S883" s="148"/>
      <c r="T883" s="91"/>
      <c r="U883" s="101"/>
      <c r="V883" s="101"/>
      <c r="W883" s="101"/>
    </row>
    <row r="884">
      <c r="A884" s="94"/>
      <c r="B884" s="138"/>
      <c r="C884" s="120"/>
      <c r="D884" s="120"/>
      <c r="E884" s="120"/>
      <c r="F884" s="91"/>
      <c r="G884" s="88"/>
      <c r="H884" s="94"/>
      <c r="I884" s="91"/>
      <c r="J884" s="94"/>
      <c r="K884" s="94"/>
      <c r="L884" s="94"/>
      <c r="M884" s="147"/>
      <c r="N884" s="147"/>
      <c r="O884" s="147"/>
      <c r="P884" s="147"/>
      <c r="Q884" s="94"/>
      <c r="R884" s="91"/>
      <c r="S884" s="148"/>
      <c r="T884" s="91"/>
      <c r="U884" s="101"/>
      <c r="V884" s="101"/>
      <c r="W884" s="101"/>
    </row>
    <row r="885">
      <c r="A885" s="94"/>
      <c r="B885" s="138"/>
      <c r="C885" s="120"/>
      <c r="D885" s="120"/>
      <c r="E885" s="120"/>
      <c r="F885" s="91"/>
      <c r="G885" s="88"/>
      <c r="H885" s="94"/>
      <c r="I885" s="91"/>
      <c r="J885" s="94"/>
      <c r="K885" s="94"/>
      <c r="L885" s="94"/>
      <c r="M885" s="147"/>
      <c r="N885" s="147"/>
      <c r="O885" s="147"/>
      <c r="P885" s="147"/>
      <c r="Q885" s="94"/>
      <c r="R885" s="91"/>
      <c r="S885" s="148"/>
      <c r="T885" s="91"/>
      <c r="U885" s="101"/>
      <c r="V885" s="101"/>
      <c r="W885" s="101"/>
    </row>
    <row r="886">
      <c r="A886" s="94"/>
      <c r="B886" s="138"/>
      <c r="C886" s="120"/>
      <c r="D886" s="120"/>
      <c r="E886" s="120"/>
      <c r="F886" s="91"/>
      <c r="G886" s="88"/>
      <c r="H886" s="94"/>
      <c r="I886" s="91"/>
      <c r="J886" s="94"/>
      <c r="K886" s="94"/>
      <c r="L886" s="94"/>
      <c r="M886" s="147"/>
      <c r="N886" s="147"/>
      <c r="O886" s="147"/>
      <c r="P886" s="147"/>
      <c r="Q886" s="94"/>
      <c r="R886" s="91"/>
      <c r="S886" s="148"/>
      <c r="T886" s="91"/>
      <c r="U886" s="101"/>
      <c r="V886" s="101"/>
      <c r="W886" s="101"/>
    </row>
    <row r="887">
      <c r="A887" s="94"/>
      <c r="B887" s="138"/>
      <c r="C887" s="120"/>
      <c r="D887" s="120"/>
      <c r="E887" s="120"/>
      <c r="F887" s="91"/>
      <c r="G887" s="88"/>
      <c r="H887" s="94"/>
      <c r="I887" s="91"/>
      <c r="J887" s="94"/>
      <c r="K887" s="94"/>
      <c r="L887" s="94"/>
      <c r="M887" s="147"/>
      <c r="N887" s="147"/>
      <c r="O887" s="147"/>
      <c r="P887" s="147"/>
      <c r="Q887" s="94"/>
      <c r="R887" s="91"/>
      <c r="S887" s="148"/>
      <c r="T887" s="91"/>
      <c r="U887" s="101"/>
      <c r="V887" s="101"/>
      <c r="W887" s="101"/>
    </row>
    <row r="888">
      <c r="A888" s="94"/>
      <c r="B888" s="138"/>
      <c r="C888" s="120"/>
      <c r="D888" s="120"/>
      <c r="E888" s="120"/>
      <c r="F888" s="91"/>
      <c r="G888" s="88"/>
      <c r="H888" s="94"/>
      <c r="I888" s="91"/>
      <c r="J888" s="94"/>
      <c r="K888" s="94"/>
      <c r="L888" s="94"/>
      <c r="M888" s="147"/>
      <c r="N888" s="147"/>
      <c r="O888" s="147"/>
      <c r="P888" s="147"/>
      <c r="Q888" s="94"/>
      <c r="R888" s="91"/>
      <c r="S888" s="148"/>
      <c r="T888" s="91"/>
      <c r="U888" s="101"/>
      <c r="V888" s="101"/>
      <c r="W888" s="101"/>
    </row>
    <row r="889">
      <c r="A889" s="94"/>
      <c r="B889" s="138"/>
      <c r="C889" s="120"/>
      <c r="D889" s="120"/>
      <c r="E889" s="120"/>
      <c r="F889" s="91"/>
      <c r="G889" s="88"/>
      <c r="H889" s="94"/>
      <c r="I889" s="91"/>
      <c r="J889" s="94"/>
      <c r="K889" s="94"/>
      <c r="L889" s="94"/>
      <c r="M889" s="147"/>
      <c r="N889" s="147"/>
      <c r="O889" s="147"/>
      <c r="P889" s="147"/>
      <c r="Q889" s="94"/>
      <c r="R889" s="91"/>
      <c r="S889" s="148"/>
      <c r="T889" s="91"/>
      <c r="U889" s="101"/>
      <c r="V889" s="101"/>
      <c r="W889" s="101"/>
    </row>
    <row r="890">
      <c r="A890" s="94"/>
      <c r="B890" s="138"/>
      <c r="C890" s="120"/>
      <c r="D890" s="120"/>
      <c r="E890" s="120"/>
      <c r="F890" s="91"/>
      <c r="G890" s="88"/>
      <c r="H890" s="94"/>
      <c r="I890" s="91"/>
      <c r="J890" s="94"/>
      <c r="K890" s="94"/>
      <c r="L890" s="94"/>
      <c r="M890" s="147"/>
      <c r="N890" s="147"/>
      <c r="O890" s="147"/>
      <c r="P890" s="147"/>
      <c r="Q890" s="94"/>
      <c r="R890" s="91"/>
      <c r="S890" s="148"/>
      <c r="T890" s="91"/>
      <c r="U890" s="101"/>
      <c r="V890" s="101"/>
      <c r="W890" s="101"/>
    </row>
    <row r="891">
      <c r="A891" s="94"/>
      <c r="B891" s="138"/>
      <c r="C891" s="120"/>
      <c r="D891" s="120"/>
      <c r="E891" s="120"/>
      <c r="F891" s="91"/>
      <c r="G891" s="88"/>
      <c r="H891" s="94"/>
      <c r="I891" s="91"/>
      <c r="J891" s="94"/>
      <c r="K891" s="94"/>
      <c r="L891" s="94"/>
      <c r="M891" s="147"/>
      <c r="N891" s="147"/>
      <c r="O891" s="147"/>
      <c r="P891" s="147"/>
      <c r="Q891" s="94"/>
      <c r="R891" s="91"/>
      <c r="S891" s="148"/>
      <c r="T891" s="91"/>
      <c r="U891" s="101"/>
      <c r="V891" s="101"/>
      <c r="W891" s="101"/>
    </row>
    <row r="892">
      <c r="A892" s="94"/>
      <c r="B892" s="138"/>
      <c r="C892" s="120"/>
      <c r="D892" s="120"/>
      <c r="E892" s="120"/>
      <c r="F892" s="91"/>
      <c r="G892" s="88"/>
      <c r="H892" s="94"/>
      <c r="I892" s="91"/>
      <c r="J892" s="94"/>
      <c r="K892" s="94"/>
      <c r="L892" s="94"/>
      <c r="M892" s="147"/>
      <c r="N892" s="147"/>
      <c r="O892" s="147"/>
      <c r="P892" s="147"/>
      <c r="Q892" s="94"/>
      <c r="R892" s="91"/>
      <c r="S892" s="148"/>
      <c r="T892" s="91"/>
      <c r="U892" s="101"/>
      <c r="V892" s="101"/>
      <c r="W892" s="101"/>
    </row>
    <row r="893">
      <c r="A893" s="94"/>
      <c r="B893" s="138"/>
      <c r="C893" s="120"/>
      <c r="D893" s="120"/>
      <c r="E893" s="120"/>
      <c r="F893" s="91"/>
      <c r="G893" s="88"/>
      <c r="H893" s="94"/>
      <c r="I893" s="91"/>
      <c r="J893" s="94"/>
      <c r="K893" s="94"/>
      <c r="L893" s="94"/>
      <c r="M893" s="147"/>
      <c r="N893" s="147"/>
      <c r="O893" s="147"/>
      <c r="P893" s="147"/>
      <c r="Q893" s="94"/>
      <c r="R893" s="91"/>
      <c r="S893" s="148"/>
      <c r="T893" s="91"/>
      <c r="U893" s="101"/>
      <c r="V893" s="101"/>
      <c r="W893" s="101"/>
    </row>
    <row r="894">
      <c r="A894" s="94"/>
      <c r="B894" s="138"/>
      <c r="C894" s="120"/>
      <c r="D894" s="120"/>
      <c r="E894" s="120"/>
      <c r="F894" s="91"/>
      <c r="G894" s="88"/>
      <c r="H894" s="94"/>
      <c r="I894" s="91"/>
      <c r="J894" s="94"/>
      <c r="K894" s="94"/>
      <c r="L894" s="94"/>
      <c r="M894" s="147"/>
      <c r="N894" s="147"/>
      <c r="O894" s="147"/>
      <c r="P894" s="147"/>
      <c r="Q894" s="94"/>
      <c r="R894" s="91"/>
      <c r="S894" s="148"/>
      <c r="T894" s="91"/>
      <c r="U894" s="101"/>
      <c r="V894" s="101"/>
      <c r="W894" s="101"/>
    </row>
    <row r="895">
      <c r="A895" s="94"/>
      <c r="B895" s="138"/>
      <c r="C895" s="120"/>
      <c r="D895" s="120"/>
      <c r="E895" s="120"/>
      <c r="F895" s="91"/>
      <c r="G895" s="88"/>
      <c r="H895" s="94"/>
      <c r="I895" s="91"/>
      <c r="J895" s="94"/>
      <c r="K895" s="94"/>
      <c r="L895" s="94"/>
      <c r="M895" s="147"/>
      <c r="N895" s="147"/>
      <c r="O895" s="147"/>
      <c r="P895" s="147"/>
      <c r="Q895" s="94"/>
      <c r="R895" s="91"/>
      <c r="S895" s="148"/>
      <c r="T895" s="91"/>
      <c r="U895" s="101"/>
      <c r="V895" s="101"/>
      <c r="W895" s="101"/>
    </row>
    <row r="896">
      <c r="A896" s="94"/>
      <c r="B896" s="138"/>
      <c r="C896" s="120"/>
      <c r="D896" s="120"/>
      <c r="E896" s="120"/>
      <c r="F896" s="91"/>
      <c r="G896" s="88"/>
      <c r="H896" s="94"/>
      <c r="I896" s="91"/>
      <c r="J896" s="94"/>
      <c r="K896" s="94"/>
      <c r="L896" s="94"/>
      <c r="M896" s="147"/>
      <c r="N896" s="147"/>
      <c r="O896" s="147"/>
      <c r="P896" s="147"/>
      <c r="Q896" s="94"/>
      <c r="R896" s="91"/>
      <c r="S896" s="148"/>
      <c r="T896" s="91"/>
      <c r="U896" s="101"/>
      <c r="V896" s="101"/>
      <c r="W896" s="101"/>
    </row>
    <row r="897">
      <c r="A897" s="94"/>
      <c r="B897" s="138"/>
      <c r="C897" s="120"/>
      <c r="D897" s="120"/>
      <c r="E897" s="120"/>
      <c r="F897" s="91"/>
      <c r="G897" s="88"/>
      <c r="H897" s="94"/>
      <c r="I897" s="91"/>
      <c r="J897" s="94"/>
      <c r="K897" s="94"/>
      <c r="L897" s="94"/>
      <c r="M897" s="147"/>
      <c r="N897" s="147"/>
      <c r="O897" s="147"/>
      <c r="P897" s="147"/>
      <c r="Q897" s="94"/>
      <c r="R897" s="91"/>
      <c r="S897" s="148"/>
      <c r="T897" s="91"/>
      <c r="U897" s="101"/>
      <c r="V897" s="101"/>
      <c r="W897" s="101"/>
    </row>
    <row r="898">
      <c r="A898" s="94"/>
      <c r="B898" s="138"/>
      <c r="C898" s="120"/>
      <c r="D898" s="120"/>
      <c r="E898" s="120"/>
      <c r="F898" s="91"/>
      <c r="G898" s="88"/>
      <c r="H898" s="94"/>
      <c r="I898" s="91"/>
      <c r="J898" s="94"/>
      <c r="K898" s="94"/>
      <c r="L898" s="94"/>
      <c r="M898" s="147"/>
      <c r="N898" s="147"/>
      <c r="O898" s="147"/>
      <c r="P898" s="147"/>
      <c r="Q898" s="94"/>
      <c r="R898" s="91"/>
      <c r="S898" s="148"/>
      <c r="T898" s="91"/>
      <c r="U898" s="101"/>
      <c r="V898" s="101"/>
      <c r="W898" s="101"/>
    </row>
    <row r="899">
      <c r="A899" s="94"/>
      <c r="B899" s="138"/>
      <c r="C899" s="120"/>
      <c r="D899" s="120"/>
      <c r="E899" s="120"/>
      <c r="F899" s="91"/>
      <c r="G899" s="88"/>
      <c r="H899" s="94"/>
      <c r="I899" s="91"/>
      <c r="J899" s="94"/>
      <c r="K899" s="94"/>
      <c r="L899" s="94"/>
      <c r="M899" s="147"/>
      <c r="N899" s="147"/>
      <c r="O899" s="147"/>
      <c r="P899" s="147"/>
      <c r="Q899" s="94"/>
      <c r="R899" s="91"/>
      <c r="S899" s="148"/>
      <c r="T899" s="91"/>
      <c r="U899" s="101"/>
      <c r="V899" s="101"/>
      <c r="W899" s="101"/>
    </row>
    <row r="900">
      <c r="A900" s="94"/>
      <c r="B900" s="138"/>
      <c r="C900" s="120"/>
      <c r="D900" s="120"/>
      <c r="E900" s="120"/>
      <c r="F900" s="91"/>
      <c r="G900" s="88"/>
      <c r="H900" s="94"/>
      <c r="I900" s="91"/>
      <c r="J900" s="94"/>
      <c r="K900" s="94"/>
      <c r="L900" s="94"/>
      <c r="M900" s="147"/>
      <c r="N900" s="147"/>
      <c r="O900" s="147"/>
      <c r="P900" s="147"/>
      <c r="Q900" s="94"/>
      <c r="R900" s="91"/>
      <c r="S900" s="148"/>
      <c r="T900" s="91"/>
      <c r="U900" s="101"/>
      <c r="V900" s="101"/>
      <c r="W900" s="101"/>
    </row>
    <row r="901">
      <c r="A901" s="94"/>
      <c r="B901" s="138"/>
      <c r="C901" s="120"/>
      <c r="D901" s="120"/>
      <c r="E901" s="120"/>
      <c r="F901" s="91"/>
      <c r="G901" s="88"/>
      <c r="H901" s="94"/>
      <c r="I901" s="91"/>
      <c r="J901" s="94"/>
      <c r="K901" s="94"/>
      <c r="L901" s="94"/>
      <c r="M901" s="147"/>
      <c r="N901" s="147"/>
      <c r="O901" s="147"/>
      <c r="P901" s="147"/>
      <c r="Q901" s="94"/>
      <c r="R901" s="91"/>
      <c r="S901" s="148"/>
      <c r="T901" s="91"/>
      <c r="U901" s="101"/>
      <c r="V901" s="101"/>
      <c r="W901" s="101"/>
    </row>
    <row r="902">
      <c r="A902" s="94"/>
      <c r="B902" s="138"/>
      <c r="C902" s="120"/>
      <c r="D902" s="120"/>
      <c r="E902" s="120"/>
      <c r="F902" s="91"/>
      <c r="G902" s="88"/>
      <c r="H902" s="94"/>
      <c r="I902" s="91"/>
      <c r="J902" s="94"/>
      <c r="K902" s="94"/>
      <c r="L902" s="94"/>
      <c r="M902" s="147"/>
      <c r="N902" s="147"/>
      <c r="O902" s="147"/>
      <c r="P902" s="147"/>
      <c r="Q902" s="94"/>
      <c r="R902" s="91"/>
      <c r="S902" s="148"/>
      <c r="T902" s="91"/>
      <c r="U902" s="101"/>
      <c r="V902" s="101"/>
      <c r="W902" s="101"/>
    </row>
    <row r="903">
      <c r="A903" s="94"/>
      <c r="B903" s="138"/>
      <c r="C903" s="120"/>
      <c r="D903" s="120"/>
      <c r="E903" s="120"/>
      <c r="F903" s="91"/>
      <c r="G903" s="88"/>
      <c r="H903" s="94"/>
      <c r="I903" s="91"/>
      <c r="J903" s="94"/>
      <c r="K903" s="94"/>
      <c r="L903" s="94"/>
      <c r="M903" s="147"/>
      <c r="N903" s="147"/>
      <c r="O903" s="147"/>
      <c r="P903" s="147"/>
      <c r="Q903" s="94"/>
      <c r="R903" s="91"/>
      <c r="S903" s="148"/>
      <c r="T903" s="91"/>
      <c r="U903" s="101"/>
      <c r="V903" s="101"/>
      <c r="W903" s="101"/>
    </row>
    <row r="904">
      <c r="A904" s="94"/>
      <c r="B904" s="138"/>
      <c r="C904" s="120"/>
      <c r="D904" s="120"/>
      <c r="E904" s="120"/>
      <c r="F904" s="91"/>
      <c r="G904" s="88"/>
      <c r="H904" s="94"/>
      <c r="I904" s="91"/>
      <c r="J904" s="94"/>
      <c r="K904" s="94"/>
      <c r="L904" s="94"/>
      <c r="M904" s="147"/>
      <c r="N904" s="147"/>
      <c r="O904" s="147"/>
      <c r="P904" s="147"/>
      <c r="Q904" s="94"/>
      <c r="R904" s="91"/>
      <c r="S904" s="148"/>
      <c r="T904" s="91"/>
      <c r="U904" s="101"/>
      <c r="V904" s="101"/>
      <c r="W904" s="101"/>
    </row>
    <row r="905">
      <c r="A905" s="94"/>
      <c r="B905" s="138"/>
      <c r="C905" s="120"/>
      <c r="D905" s="120"/>
      <c r="E905" s="120"/>
      <c r="F905" s="91"/>
      <c r="G905" s="88"/>
      <c r="H905" s="94"/>
      <c r="I905" s="91"/>
      <c r="J905" s="94"/>
      <c r="K905" s="94"/>
      <c r="L905" s="94"/>
      <c r="M905" s="147"/>
      <c r="N905" s="147"/>
      <c r="O905" s="147"/>
      <c r="P905" s="147"/>
      <c r="Q905" s="94"/>
      <c r="R905" s="91"/>
      <c r="S905" s="148"/>
      <c r="T905" s="91"/>
      <c r="U905" s="101"/>
      <c r="V905" s="101"/>
      <c r="W905" s="101"/>
    </row>
    <row r="906">
      <c r="A906" s="94"/>
      <c r="B906" s="138"/>
      <c r="C906" s="120"/>
      <c r="D906" s="120"/>
      <c r="E906" s="120"/>
      <c r="F906" s="91"/>
      <c r="G906" s="88"/>
      <c r="H906" s="94"/>
      <c r="I906" s="91"/>
      <c r="J906" s="94"/>
      <c r="K906" s="94"/>
      <c r="L906" s="94"/>
      <c r="M906" s="147"/>
      <c r="N906" s="147"/>
      <c r="O906" s="147"/>
      <c r="P906" s="147"/>
      <c r="Q906" s="94"/>
      <c r="R906" s="91"/>
      <c r="S906" s="148"/>
      <c r="T906" s="91"/>
      <c r="U906" s="101"/>
      <c r="V906" s="101"/>
      <c r="W906" s="101"/>
    </row>
    <row r="907">
      <c r="A907" s="94"/>
      <c r="B907" s="138"/>
      <c r="C907" s="120"/>
      <c r="D907" s="120"/>
      <c r="E907" s="120"/>
      <c r="F907" s="91"/>
      <c r="G907" s="88"/>
      <c r="H907" s="94"/>
      <c r="I907" s="91"/>
      <c r="J907" s="94"/>
      <c r="K907" s="94"/>
      <c r="L907" s="94"/>
      <c r="M907" s="147"/>
      <c r="N907" s="147"/>
      <c r="O907" s="147"/>
      <c r="P907" s="147"/>
      <c r="Q907" s="94"/>
      <c r="R907" s="91"/>
      <c r="S907" s="148"/>
      <c r="T907" s="91"/>
      <c r="U907" s="101"/>
      <c r="V907" s="101"/>
      <c r="W907" s="101"/>
    </row>
    <row r="908">
      <c r="A908" s="94"/>
      <c r="B908" s="138"/>
      <c r="C908" s="120"/>
      <c r="D908" s="120"/>
      <c r="E908" s="120"/>
      <c r="F908" s="91"/>
      <c r="G908" s="88"/>
      <c r="H908" s="94"/>
      <c r="I908" s="91"/>
      <c r="J908" s="94"/>
      <c r="K908" s="94"/>
      <c r="L908" s="94"/>
      <c r="M908" s="147"/>
      <c r="N908" s="147"/>
      <c r="O908" s="147"/>
      <c r="P908" s="147"/>
      <c r="Q908" s="94"/>
      <c r="R908" s="91"/>
      <c r="S908" s="148"/>
      <c r="T908" s="91"/>
      <c r="U908" s="101"/>
      <c r="V908" s="101"/>
      <c r="W908" s="101"/>
    </row>
    <row r="909">
      <c r="A909" s="94"/>
      <c r="B909" s="138"/>
      <c r="C909" s="120"/>
      <c r="D909" s="120"/>
      <c r="E909" s="120"/>
      <c r="F909" s="91"/>
      <c r="G909" s="88"/>
      <c r="H909" s="94"/>
      <c r="I909" s="91"/>
      <c r="J909" s="94"/>
      <c r="K909" s="94"/>
      <c r="L909" s="94"/>
      <c r="M909" s="147"/>
      <c r="N909" s="147"/>
      <c r="O909" s="147"/>
      <c r="P909" s="147"/>
      <c r="Q909" s="94"/>
      <c r="R909" s="91"/>
      <c r="S909" s="148"/>
      <c r="T909" s="91"/>
      <c r="U909" s="101"/>
      <c r="V909" s="101"/>
      <c r="W909" s="101"/>
    </row>
    <row r="910">
      <c r="A910" s="94"/>
      <c r="B910" s="138"/>
      <c r="C910" s="120"/>
      <c r="D910" s="120"/>
      <c r="E910" s="120"/>
      <c r="F910" s="91"/>
      <c r="G910" s="88"/>
      <c r="H910" s="94"/>
      <c r="I910" s="91"/>
      <c r="J910" s="94"/>
      <c r="K910" s="94"/>
      <c r="L910" s="94"/>
      <c r="M910" s="147"/>
      <c r="N910" s="147"/>
      <c r="O910" s="147"/>
      <c r="P910" s="147"/>
      <c r="Q910" s="94"/>
      <c r="R910" s="91"/>
      <c r="S910" s="148"/>
      <c r="T910" s="91"/>
      <c r="U910" s="101"/>
      <c r="V910" s="101"/>
      <c r="W910" s="101"/>
    </row>
    <row r="911">
      <c r="A911" s="94"/>
      <c r="B911" s="138"/>
      <c r="C911" s="120"/>
      <c r="D911" s="120"/>
      <c r="E911" s="120"/>
      <c r="F911" s="91"/>
      <c r="G911" s="88"/>
      <c r="H911" s="94"/>
      <c r="I911" s="91"/>
      <c r="J911" s="94"/>
      <c r="K911" s="94"/>
      <c r="L911" s="94"/>
      <c r="M911" s="147"/>
      <c r="N911" s="147"/>
      <c r="O911" s="147"/>
      <c r="P911" s="147"/>
      <c r="Q911" s="94"/>
      <c r="R911" s="91"/>
      <c r="S911" s="148"/>
      <c r="T911" s="91"/>
      <c r="U911" s="101"/>
      <c r="V911" s="101"/>
      <c r="W911" s="101"/>
    </row>
    <row r="912">
      <c r="A912" s="94"/>
      <c r="B912" s="138"/>
      <c r="C912" s="120"/>
      <c r="D912" s="120"/>
      <c r="E912" s="120"/>
      <c r="F912" s="91"/>
      <c r="G912" s="88"/>
      <c r="H912" s="94"/>
      <c r="I912" s="91"/>
      <c r="J912" s="94"/>
      <c r="K912" s="94"/>
      <c r="L912" s="94"/>
      <c r="M912" s="147"/>
      <c r="N912" s="147"/>
      <c r="O912" s="147"/>
      <c r="P912" s="147"/>
      <c r="Q912" s="94"/>
      <c r="R912" s="91"/>
      <c r="S912" s="148"/>
      <c r="T912" s="91"/>
      <c r="U912" s="101"/>
      <c r="V912" s="101"/>
      <c r="W912" s="101"/>
    </row>
    <row r="913">
      <c r="A913" s="94"/>
      <c r="B913" s="138"/>
      <c r="C913" s="120"/>
      <c r="D913" s="120"/>
      <c r="E913" s="120"/>
      <c r="F913" s="91"/>
      <c r="G913" s="88"/>
      <c r="H913" s="94"/>
      <c r="I913" s="91"/>
      <c r="J913" s="94"/>
      <c r="K913" s="94"/>
      <c r="L913" s="94"/>
      <c r="M913" s="147"/>
      <c r="N913" s="147"/>
      <c r="O913" s="147"/>
      <c r="P913" s="147"/>
      <c r="Q913" s="94"/>
      <c r="R913" s="91"/>
      <c r="S913" s="148"/>
      <c r="T913" s="91"/>
      <c r="U913" s="101"/>
      <c r="V913" s="101"/>
      <c r="W913" s="101"/>
    </row>
    <row r="914">
      <c r="A914" s="94"/>
      <c r="B914" s="138"/>
      <c r="C914" s="120"/>
      <c r="D914" s="120"/>
      <c r="E914" s="120"/>
      <c r="F914" s="91"/>
      <c r="G914" s="88"/>
      <c r="H914" s="94"/>
      <c r="I914" s="91"/>
      <c r="J914" s="94"/>
      <c r="K914" s="94"/>
      <c r="L914" s="94"/>
      <c r="M914" s="147"/>
      <c r="N914" s="147"/>
      <c r="O914" s="147"/>
      <c r="P914" s="147"/>
      <c r="Q914" s="94"/>
      <c r="R914" s="91"/>
      <c r="S914" s="148"/>
      <c r="T914" s="91"/>
      <c r="U914" s="101"/>
      <c r="V914" s="101"/>
      <c r="W914" s="101"/>
    </row>
    <row r="915">
      <c r="A915" s="94"/>
      <c r="B915" s="138"/>
      <c r="C915" s="120"/>
      <c r="D915" s="120"/>
      <c r="E915" s="120"/>
      <c r="F915" s="91"/>
      <c r="G915" s="88"/>
      <c r="H915" s="94"/>
      <c r="I915" s="91"/>
      <c r="J915" s="94"/>
      <c r="K915" s="94"/>
      <c r="L915" s="94"/>
      <c r="M915" s="147"/>
      <c r="N915" s="147"/>
      <c r="O915" s="147"/>
      <c r="P915" s="147"/>
      <c r="Q915" s="94"/>
      <c r="R915" s="91"/>
      <c r="S915" s="148"/>
      <c r="T915" s="91"/>
      <c r="U915" s="101"/>
      <c r="V915" s="101"/>
      <c r="W915" s="101"/>
    </row>
    <row r="916">
      <c r="A916" s="94"/>
      <c r="B916" s="138"/>
      <c r="C916" s="120"/>
      <c r="D916" s="120"/>
      <c r="E916" s="120"/>
      <c r="F916" s="91"/>
      <c r="G916" s="88"/>
      <c r="H916" s="94"/>
      <c r="I916" s="91"/>
      <c r="J916" s="94"/>
      <c r="K916" s="94"/>
      <c r="L916" s="94"/>
      <c r="M916" s="147"/>
      <c r="N916" s="147"/>
      <c r="O916" s="147"/>
      <c r="P916" s="147"/>
      <c r="Q916" s="94"/>
      <c r="R916" s="91"/>
      <c r="S916" s="148"/>
      <c r="T916" s="91"/>
      <c r="U916" s="101"/>
      <c r="V916" s="101"/>
      <c r="W916" s="101"/>
    </row>
    <row r="917">
      <c r="A917" s="94"/>
      <c r="B917" s="138"/>
      <c r="C917" s="120"/>
      <c r="D917" s="120"/>
      <c r="E917" s="120"/>
      <c r="F917" s="91"/>
      <c r="G917" s="88"/>
      <c r="H917" s="94"/>
      <c r="I917" s="91"/>
      <c r="J917" s="94"/>
      <c r="K917" s="94"/>
      <c r="L917" s="94"/>
      <c r="M917" s="147"/>
      <c r="N917" s="147"/>
      <c r="O917" s="147"/>
      <c r="P917" s="147"/>
      <c r="Q917" s="94"/>
      <c r="R917" s="91"/>
      <c r="S917" s="148"/>
      <c r="T917" s="91"/>
      <c r="U917" s="101"/>
      <c r="V917" s="101"/>
      <c r="W917" s="101"/>
    </row>
    <row r="918">
      <c r="A918" s="94"/>
      <c r="B918" s="138"/>
      <c r="C918" s="120"/>
      <c r="D918" s="120"/>
      <c r="E918" s="120"/>
      <c r="F918" s="91"/>
      <c r="G918" s="88"/>
      <c r="H918" s="94"/>
      <c r="I918" s="91"/>
      <c r="J918" s="94"/>
      <c r="K918" s="94"/>
      <c r="L918" s="94"/>
      <c r="M918" s="147"/>
      <c r="N918" s="147"/>
      <c r="O918" s="147"/>
      <c r="P918" s="147"/>
      <c r="Q918" s="94"/>
      <c r="R918" s="91"/>
      <c r="S918" s="148"/>
      <c r="T918" s="91"/>
      <c r="U918" s="101"/>
      <c r="V918" s="101"/>
      <c r="W918" s="101"/>
    </row>
    <row r="919">
      <c r="A919" s="94"/>
      <c r="B919" s="138"/>
      <c r="C919" s="120"/>
      <c r="D919" s="120"/>
      <c r="E919" s="120"/>
      <c r="F919" s="91"/>
      <c r="G919" s="88"/>
      <c r="H919" s="94"/>
      <c r="I919" s="91"/>
      <c r="J919" s="94"/>
      <c r="K919" s="94"/>
      <c r="L919" s="94"/>
      <c r="M919" s="147"/>
      <c r="N919" s="147"/>
      <c r="O919" s="147"/>
      <c r="P919" s="147"/>
      <c r="Q919" s="94"/>
      <c r="R919" s="91"/>
      <c r="S919" s="148"/>
      <c r="T919" s="91"/>
      <c r="U919" s="101"/>
      <c r="V919" s="101"/>
      <c r="W919" s="101"/>
    </row>
    <row r="920">
      <c r="A920" s="94"/>
      <c r="B920" s="138"/>
      <c r="C920" s="120"/>
      <c r="D920" s="120"/>
      <c r="E920" s="120"/>
      <c r="F920" s="91"/>
      <c r="G920" s="88"/>
      <c r="H920" s="94"/>
      <c r="I920" s="91"/>
      <c r="J920" s="94"/>
      <c r="K920" s="94"/>
      <c r="L920" s="94"/>
      <c r="M920" s="147"/>
      <c r="N920" s="147"/>
      <c r="O920" s="147"/>
      <c r="P920" s="147"/>
      <c r="Q920" s="94"/>
      <c r="R920" s="91"/>
      <c r="S920" s="148"/>
      <c r="T920" s="91"/>
      <c r="U920" s="101"/>
      <c r="V920" s="101"/>
      <c r="W920" s="101"/>
    </row>
    <row r="921">
      <c r="A921" s="94"/>
      <c r="B921" s="138"/>
      <c r="C921" s="120"/>
      <c r="D921" s="120"/>
      <c r="E921" s="120"/>
      <c r="F921" s="91"/>
      <c r="G921" s="88"/>
      <c r="H921" s="94"/>
      <c r="I921" s="91"/>
      <c r="J921" s="94"/>
      <c r="K921" s="94"/>
      <c r="L921" s="94"/>
      <c r="M921" s="147"/>
      <c r="N921" s="147"/>
      <c r="O921" s="147"/>
      <c r="P921" s="147"/>
      <c r="Q921" s="94"/>
      <c r="R921" s="91"/>
      <c r="S921" s="148"/>
      <c r="T921" s="91"/>
      <c r="U921" s="101"/>
      <c r="V921" s="101"/>
      <c r="W921" s="101"/>
    </row>
    <row r="922">
      <c r="A922" s="94"/>
      <c r="B922" s="138"/>
      <c r="C922" s="120"/>
      <c r="D922" s="120"/>
      <c r="E922" s="120"/>
      <c r="F922" s="91"/>
      <c r="G922" s="88"/>
      <c r="H922" s="94"/>
      <c r="I922" s="91"/>
      <c r="J922" s="94"/>
      <c r="K922" s="94"/>
      <c r="L922" s="94"/>
      <c r="M922" s="147"/>
      <c r="N922" s="147"/>
      <c r="O922" s="147"/>
      <c r="P922" s="147"/>
      <c r="Q922" s="94"/>
      <c r="R922" s="91"/>
      <c r="S922" s="148"/>
      <c r="T922" s="91"/>
      <c r="U922" s="101"/>
      <c r="V922" s="101"/>
      <c r="W922" s="101"/>
    </row>
    <row r="923">
      <c r="A923" s="94"/>
      <c r="B923" s="138"/>
      <c r="C923" s="120"/>
      <c r="D923" s="120"/>
      <c r="E923" s="120"/>
      <c r="F923" s="91"/>
      <c r="G923" s="88"/>
      <c r="H923" s="94"/>
      <c r="I923" s="91"/>
      <c r="J923" s="94"/>
      <c r="K923" s="94"/>
      <c r="L923" s="94"/>
      <c r="M923" s="147"/>
      <c r="N923" s="147"/>
      <c r="O923" s="147"/>
      <c r="P923" s="147"/>
      <c r="Q923" s="94"/>
      <c r="R923" s="91"/>
      <c r="S923" s="148"/>
      <c r="T923" s="91"/>
      <c r="U923" s="101"/>
      <c r="V923" s="101"/>
      <c r="W923" s="101"/>
    </row>
    <row r="924">
      <c r="A924" s="94"/>
      <c r="B924" s="138"/>
      <c r="C924" s="120"/>
      <c r="D924" s="120"/>
      <c r="E924" s="120"/>
      <c r="F924" s="91"/>
      <c r="G924" s="88"/>
      <c r="H924" s="94"/>
      <c r="I924" s="91"/>
      <c r="J924" s="94"/>
      <c r="K924" s="94"/>
      <c r="L924" s="94"/>
      <c r="M924" s="147"/>
      <c r="N924" s="147"/>
      <c r="O924" s="147"/>
      <c r="P924" s="147"/>
      <c r="Q924" s="94"/>
      <c r="R924" s="91"/>
      <c r="S924" s="148"/>
      <c r="T924" s="91"/>
      <c r="U924" s="101"/>
      <c r="V924" s="101"/>
      <c r="W924" s="101"/>
    </row>
    <row r="925">
      <c r="A925" s="94"/>
      <c r="B925" s="138"/>
      <c r="C925" s="120"/>
      <c r="D925" s="120"/>
      <c r="E925" s="120"/>
      <c r="F925" s="91"/>
      <c r="G925" s="88"/>
      <c r="H925" s="94"/>
      <c r="I925" s="91"/>
      <c r="J925" s="94"/>
      <c r="K925" s="94"/>
      <c r="L925" s="94"/>
      <c r="M925" s="147"/>
      <c r="N925" s="147"/>
      <c r="O925" s="147"/>
      <c r="P925" s="147"/>
      <c r="Q925" s="94"/>
      <c r="R925" s="91"/>
      <c r="S925" s="148"/>
      <c r="T925" s="91"/>
      <c r="U925" s="101"/>
      <c r="V925" s="101"/>
      <c r="W925" s="101"/>
    </row>
    <row r="926">
      <c r="A926" s="94"/>
      <c r="B926" s="138"/>
      <c r="C926" s="120"/>
      <c r="D926" s="120"/>
      <c r="E926" s="120"/>
      <c r="F926" s="91"/>
      <c r="G926" s="88"/>
      <c r="H926" s="94"/>
      <c r="I926" s="91"/>
      <c r="J926" s="94"/>
      <c r="K926" s="94"/>
      <c r="L926" s="94"/>
      <c r="M926" s="147"/>
      <c r="N926" s="147"/>
      <c r="O926" s="147"/>
      <c r="P926" s="147"/>
      <c r="Q926" s="94"/>
      <c r="R926" s="91"/>
      <c r="S926" s="148"/>
      <c r="T926" s="91"/>
      <c r="U926" s="101"/>
      <c r="V926" s="101"/>
      <c r="W926" s="101"/>
    </row>
    <row r="927">
      <c r="A927" s="94"/>
      <c r="B927" s="138"/>
      <c r="C927" s="120"/>
      <c r="D927" s="120"/>
      <c r="E927" s="120"/>
      <c r="F927" s="91"/>
      <c r="G927" s="88"/>
      <c r="H927" s="94"/>
      <c r="I927" s="91"/>
      <c r="J927" s="94"/>
      <c r="K927" s="94"/>
      <c r="L927" s="94"/>
      <c r="M927" s="147"/>
      <c r="N927" s="147"/>
      <c r="O927" s="147"/>
      <c r="P927" s="147"/>
      <c r="Q927" s="94"/>
      <c r="R927" s="91"/>
      <c r="S927" s="148"/>
      <c r="T927" s="91"/>
      <c r="U927" s="101"/>
      <c r="V927" s="101"/>
      <c r="W927" s="101"/>
    </row>
    <row r="928">
      <c r="A928" s="94"/>
      <c r="B928" s="138"/>
      <c r="C928" s="120"/>
      <c r="D928" s="120"/>
      <c r="E928" s="120"/>
      <c r="F928" s="91"/>
      <c r="G928" s="88"/>
      <c r="H928" s="94"/>
      <c r="I928" s="91"/>
      <c r="J928" s="94"/>
      <c r="K928" s="94"/>
      <c r="L928" s="94"/>
      <c r="M928" s="147"/>
      <c r="N928" s="147"/>
      <c r="O928" s="147"/>
      <c r="P928" s="147"/>
      <c r="Q928" s="94"/>
      <c r="R928" s="91"/>
      <c r="S928" s="148"/>
      <c r="T928" s="91"/>
      <c r="U928" s="101"/>
      <c r="V928" s="101"/>
      <c r="W928" s="101"/>
    </row>
    <row r="929">
      <c r="A929" s="94"/>
      <c r="B929" s="138"/>
      <c r="C929" s="120"/>
      <c r="D929" s="120"/>
      <c r="E929" s="120"/>
      <c r="F929" s="91"/>
      <c r="G929" s="88"/>
      <c r="H929" s="94"/>
      <c r="I929" s="91"/>
      <c r="J929" s="94"/>
      <c r="K929" s="94"/>
      <c r="L929" s="94"/>
      <c r="M929" s="147"/>
      <c r="N929" s="147"/>
      <c r="O929" s="147"/>
      <c r="P929" s="147"/>
      <c r="Q929" s="94"/>
      <c r="R929" s="91"/>
      <c r="S929" s="148"/>
      <c r="T929" s="91"/>
      <c r="U929" s="101"/>
      <c r="V929" s="101"/>
      <c r="W929" s="101"/>
    </row>
    <row r="930">
      <c r="A930" s="94"/>
      <c r="B930" s="138"/>
      <c r="C930" s="120"/>
      <c r="D930" s="120"/>
      <c r="E930" s="120"/>
      <c r="F930" s="91"/>
      <c r="G930" s="88"/>
      <c r="H930" s="94"/>
      <c r="I930" s="91"/>
      <c r="J930" s="94"/>
      <c r="K930" s="94"/>
      <c r="L930" s="94"/>
      <c r="M930" s="147"/>
      <c r="N930" s="147"/>
      <c r="O930" s="147"/>
      <c r="P930" s="147"/>
      <c r="Q930" s="94"/>
      <c r="R930" s="91"/>
      <c r="S930" s="148"/>
      <c r="T930" s="91"/>
      <c r="U930" s="101"/>
      <c r="V930" s="101"/>
      <c r="W930" s="101"/>
    </row>
    <row r="931">
      <c r="A931" s="94"/>
      <c r="B931" s="138"/>
      <c r="C931" s="120"/>
      <c r="D931" s="120"/>
      <c r="E931" s="120"/>
      <c r="F931" s="91"/>
      <c r="G931" s="88"/>
      <c r="H931" s="94"/>
      <c r="I931" s="91"/>
      <c r="J931" s="94"/>
      <c r="K931" s="94"/>
      <c r="L931" s="94"/>
      <c r="M931" s="147"/>
      <c r="N931" s="147"/>
      <c r="O931" s="147"/>
      <c r="P931" s="147"/>
      <c r="Q931" s="94"/>
      <c r="R931" s="91"/>
      <c r="S931" s="148"/>
      <c r="T931" s="91"/>
      <c r="U931" s="101"/>
      <c r="V931" s="101"/>
      <c r="W931" s="101"/>
    </row>
    <row r="932">
      <c r="A932" s="94"/>
      <c r="B932" s="138"/>
      <c r="C932" s="120"/>
      <c r="D932" s="120"/>
      <c r="E932" s="120"/>
      <c r="F932" s="91"/>
      <c r="G932" s="88"/>
      <c r="H932" s="94"/>
      <c r="I932" s="91"/>
      <c r="J932" s="94"/>
      <c r="K932" s="94"/>
      <c r="L932" s="94"/>
      <c r="M932" s="147"/>
      <c r="N932" s="147"/>
      <c r="O932" s="147"/>
      <c r="P932" s="147"/>
      <c r="Q932" s="94"/>
      <c r="R932" s="91"/>
      <c r="S932" s="148"/>
      <c r="T932" s="91"/>
      <c r="U932" s="101"/>
      <c r="V932" s="101"/>
      <c r="W932" s="101"/>
    </row>
    <row r="933">
      <c r="A933" s="94"/>
      <c r="B933" s="138"/>
      <c r="C933" s="120"/>
      <c r="D933" s="120"/>
      <c r="E933" s="120"/>
      <c r="F933" s="91"/>
      <c r="G933" s="88"/>
      <c r="H933" s="94"/>
      <c r="I933" s="91"/>
      <c r="J933" s="94"/>
      <c r="K933" s="94"/>
      <c r="L933" s="94"/>
      <c r="M933" s="147"/>
      <c r="N933" s="147"/>
      <c r="O933" s="147"/>
      <c r="P933" s="147"/>
      <c r="Q933" s="94"/>
      <c r="R933" s="91"/>
      <c r="S933" s="148"/>
      <c r="T933" s="91"/>
      <c r="U933" s="101"/>
      <c r="V933" s="101"/>
      <c r="W933" s="101"/>
    </row>
    <row r="934">
      <c r="A934" s="94"/>
      <c r="B934" s="138"/>
      <c r="C934" s="120"/>
      <c r="D934" s="120"/>
      <c r="E934" s="120"/>
      <c r="F934" s="91"/>
      <c r="G934" s="88"/>
      <c r="H934" s="94"/>
      <c r="I934" s="91"/>
      <c r="J934" s="94"/>
      <c r="K934" s="94"/>
      <c r="L934" s="94"/>
      <c r="M934" s="147"/>
      <c r="N934" s="147"/>
      <c r="O934" s="147"/>
      <c r="P934" s="147"/>
      <c r="Q934" s="94"/>
      <c r="R934" s="91"/>
      <c r="S934" s="148"/>
      <c r="T934" s="91"/>
      <c r="U934" s="101"/>
      <c r="V934" s="101"/>
      <c r="W934" s="101"/>
    </row>
    <row r="935">
      <c r="A935" s="94"/>
      <c r="B935" s="138"/>
      <c r="C935" s="120"/>
      <c r="D935" s="120"/>
      <c r="E935" s="120"/>
      <c r="F935" s="91"/>
      <c r="G935" s="88"/>
      <c r="H935" s="94"/>
      <c r="I935" s="91"/>
      <c r="J935" s="94"/>
      <c r="K935" s="94"/>
      <c r="L935" s="94"/>
      <c r="M935" s="147"/>
      <c r="N935" s="147"/>
      <c r="O935" s="147"/>
      <c r="P935" s="147"/>
      <c r="Q935" s="94"/>
      <c r="R935" s="91"/>
      <c r="S935" s="148"/>
      <c r="T935" s="91"/>
      <c r="U935" s="101"/>
      <c r="V935" s="101"/>
      <c r="W935" s="101"/>
    </row>
    <row r="936">
      <c r="A936" s="94"/>
      <c r="B936" s="138"/>
      <c r="C936" s="120"/>
      <c r="D936" s="120"/>
      <c r="E936" s="120"/>
      <c r="F936" s="91"/>
      <c r="G936" s="88"/>
      <c r="H936" s="94"/>
      <c r="I936" s="91"/>
      <c r="J936" s="94"/>
      <c r="K936" s="94"/>
      <c r="L936" s="94"/>
      <c r="M936" s="147"/>
      <c r="N936" s="147"/>
      <c r="O936" s="147"/>
      <c r="P936" s="147"/>
      <c r="Q936" s="94"/>
      <c r="R936" s="91"/>
      <c r="S936" s="148"/>
      <c r="T936" s="91"/>
      <c r="U936" s="101"/>
      <c r="V936" s="101"/>
      <c r="W936" s="101"/>
    </row>
    <row r="937">
      <c r="A937" s="94"/>
      <c r="B937" s="138"/>
      <c r="C937" s="120"/>
      <c r="D937" s="120"/>
      <c r="E937" s="120"/>
      <c r="F937" s="91"/>
      <c r="G937" s="88"/>
      <c r="H937" s="94"/>
      <c r="I937" s="91"/>
      <c r="J937" s="94"/>
      <c r="K937" s="94"/>
      <c r="L937" s="94"/>
      <c r="M937" s="147"/>
      <c r="N937" s="147"/>
      <c r="O937" s="147"/>
      <c r="P937" s="147"/>
      <c r="Q937" s="94"/>
      <c r="R937" s="91"/>
      <c r="S937" s="148"/>
      <c r="T937" s="91"/>
      <c r="U937" s="101"/>
      <c r="V937" s="101"/>
      <c r="W937" s="101"/>
    </row>
    <row r="938">
      <c r="A938" s="94"/>
      <c r="B938" s="138"/>
      <c r="C938" s="120"/>
      <c r="D938" s="120"/>
      <c r="E938" s="120"/>
      <c r="F938" s="91"/>
      <c r="G938" s="88"/>
      <c r="H938" s="94"/>
      <c r="I938" s="91"/>
      <c r="J938" s="94"/>
      <c r="K938" s="94"/>
      <c r="L938" s="94"/>
      <c r="M938" s="147"/>
      <c r="N938" s="147"/>
      <c r="O938" s="147"/>
      <c r="P938" s="147"/>
      <c r="Q938" s="94"/>
      <c r="R938" s="91"/>
      <c r="S938" s="148"/>
      <c r="T938" s="91"/>
      <c r="U938" s="101"/>
      <c r="V938" s="101"/>
      <c r="W938" s="101"/>
    </row>
    <row r="939">
      <c r="A939" s="94"/>
      <c r="B939" s="138"/>
      <c r="C939" s="120"/>
      <c r="D939" s="120"/>
      <c r="E939" s="120"/>
      <c r="F939" s="91"/>
      <c r="G939" s="88"/>
      <c r="H939" s="94"/>
      <c r="I939" s="91"/>
      <c r="J939" s="94"/>
      <c r="K939" s="94"/>
      <c r="L939" s="94"/>
      <c r="M939" s="147"/>
      <c r="N939" s="147"/>
      <c r="O939" s="147"/>
      <c r="P939" s="147"/>
      <c r="Q939" s="94"/>
      <c r="R939" s="91"/>
      <c r="S939" s="148"/>
      <c r="T939" s="91"/>
      <c r="U939" s="101"/>
      <c r="V939" s="101"/>
      <c r="W939" s="101"/>
    </row>
    <row r="940">
      <c r="A940" s="94"/>
      <c r="B940" s="138"/>
      <c r="C940" s="120"/>
      <c r="D940" s="120"/>
      <c r="E940" s="120"/>
      <c r="F940" s="91"/>
      <c r="G940" s="88"/>
      <c r="H940" s="94"/>
      <c r="I940" s="91"/>
      <c r="J940" s="94"/>
      <c r="K940" s="94"/>
      <c r="L940" s="94"/>
      <c r="M940" s="147"/>
      <c r="N940" s="147"/>
      <c r="O940" s="147"/>
      <c r="P940" s="147"/>
      <c r="Q940" s="94"/>
      <c r="R940" s="91"/>
      <c r="S940" s="148"/>
      <c r="T940" s="91"/>
      <c r="U940" s="101"/>
      <c r="V940" s="101"/>
      <c r="W940" s="101"/>
    </row>
    <row r="941">
      <c r="A941" s="94"/>
      <c r="B941" s="138"/>
      <c r="C941" s="120"/>
      <c r="D941" s="120"/>
      <c r="E941" s="120"/>
      <c r="F941" s="91"/>
      <c r="G941" s="88"/>
      <c r="H941" s="94"/>
      <c r="I941" s="91"/>
      <c r="J941" s="94"/>
      <c r="K941" s="94"/>
      <c r="L941" s="94"/>
      <c r="M941" s="147"/>
      <c r="N941" s="147"/>
      <c r="O941" s="147"/>
      <c r="P941" s="147"/>
      <c r="Q941" s="94"/>
      <c r="R941" s="91"/>
      <c r="S941" s="148"/>
      <c r="T941" s="91"/>
      <c r="U941" s="101"/>
      <c r="V941" s="101"/>
      <c r="W941" s="101"/>
    </row>
    <row r="942">
      <c r="A942" s="94"/>
      <c r="B942" s="138"/>
      <c r="C942" s="120"/>
      <c r="D942" s="120"/>
      <c r="E942" s="120"/>
      <c r="F942" s="91"/>
      <c r="G942" s="88"/>
      <c r="H942" s="94"/>
      <c r="I942" s="91"/>
      <c r="J942" s="94"/>
      <c r="K942" s="94"/>
      <c r="L942" s="94"/>
      <c r="M942" s="147"/>
      <c r="N942" s="147"/>
      <c r="O942" s="147"/>
      <c r="P942" s="147"/>
      <c r="Q942" s="94"/>
      <c r="R942" s="91"/>
      <c r="S942" s="148"/>
      <c r="T942" s="91"/>
      <c r="U942" s="101"/>
      <c r="V942" s="101"/>
      <c r="W942" s="101"/>
    </row>
    <row r="943">
      <c r="A943" s="94"/>
      <c r="B943" s="138"/>
      <c r="C943" s="120"/>
      <c r="D943" s="120"/>
      <c r="E943" s="120"/>
      <c r="F943" s="91"/>
      <c r="G943" s="88"/>
      <c r="H943" s="94"/>
      <c r="I943" s="91"/>
      <c r="J943" s="94"/>
      <c r="K943" s="94"/>
      <c r="L943" s="94"/>
      <c r="M943" s="147"/>
      <c r="N943" s="147"/>
      <c r="O943" s="147"/>
      <c r="P943" s="147"/>
      <c r="Q943" s="94"/>
      <c r="R943" s="91"/>
      <c r="S943" s="148"/>
      <c r="T943" s="91"/>
      <c r="U943" s="101"/>
      <c r="V943" s="101"/>
      <c r="W943" s="101"/>
    </row>
    <row r="944">
      <c r="A944" s="94"/>
      <c r="B944" s="138"/>
      <c r="C944" s="120"/>
      <c r="D944" s="120"/>
      <c r="E944" s="120"/>
      <c r="F944" s="91"/>
      <c r="G944" s="88"/>
      <c r="H944" s="94"/>
      <c r="I944" s="91"/>
      <c r="J944" s="94"/>
      <c r="K944" s="94"/>
      <c r="L944" s="94"/>
      <c r="M944" s="147"/>
      <c r="N944" s="147"/>
      <c r="O944" s="147"/>
      <c r="P944" s="147"/>
      <c r="Q944" s="94"/>
      <c r="R944" s="91"/>
      <c r="S944" s="148"/>
      <c r="T944" s="91"/>
      <c r="U944" s="101"/>
      <c r="V944" s="101"/>
      <c r="W944" s="101"/>
    </row>
    <row r="945">
      <c r="A945" s="94"/>
      <c r="B945" s="138"/>
      <c r="C945" s="120"/>
      <c r="D945" s="120"/>
      <c r="E945" s="120"/>
      <c r="F945" s="91"/>
      <c r="G945" s="88"/>
      <c r="H945" s="94"/>
      <c r="I945" s="91"/>
      <c r="J945" s="94"/>
      <c r="K945" s="94"/>
      <c r="L945" s="94"/>
      <c r="M945" s="147"/>
      <c r="N945" s="147"/>
      <c r="O945" s="147"/>
      <c r="P945" s="147"/>
      <c r="Q945" s="94"/>
      <c r="R945" s="91"/>
      <c r="S945" s="148"/>
      <c r="T945" s="91"/>
      <c r="U945" s="101"/>
      <c r="V945" s="101"/>
      <c r="W945" s="101"/>
    </row>
    <row r="946">
      <c r="A946" s="94"/>
      <c r="B946" s="138"/>
      <c r="C946" s="120"/>
      <c r="D946" s="120"/>
      <c r="E946" s="120"/>
      <c r="F946" s="91"/>
      <c r="G946" s="88"/>
      <c r="H946" s="94"/>
      <c r="I946" s="91"/>
      <c r="J946" s="94"/>
      <c r="K946" s="94"/>
      <c r="L946" s="94"/>
      <c r="M946" s="147"/>
      <c r="N946" s="147"/>
      <c r="O946" s="147"/>
      <c r="P946" s="147"/>
      <c r="Q946" s="94"/>
      <c r="R946" s="91"/>
      <c r="S946" s="148"/>
      <c r="T946" s="91"/>
      <c r="U946" s="101"/>
      <c r="V946" s="101"/>
      <c r="W946" s="101"/>
    </row>
    <row r="947">
      <c r="A947" s="94"/>
      <c r="B947" s="138"/>
      <c r="C947" s="120"/>
      <c r="D947" s="120"/>
      <c r="E947" s="120"/>
      <c r="F947" s="91"/>
      <c r="G947" s="88"/>
      <c r="H947" s="94"/>
      <c r="I947" s="91"/>
      <c r="J947" s="94"/>
      <c r="K947" s="94"/>
      <c r="L947" s="94"/>
      <c r="M947" s="147"/>
      <c r="N947" s="147"/>
      <c r="O947" s="147"/>
      <c r="P947" s="147"/>
      <c r="Q947" s="94"/>
      <c r="R947" s="91"/>
      <c r="S947" s="148"/>
      <c r="T947" s="91"/>
      <c r="U947" s="101"/>
      <c r="V947" s="101"/>
      <c r="W947" s="101"/>
    </row>
    <row r="948">
      <c r="A948" s="94"/>
      <c r="B948" s="138"/>
      <c r="C948" s="120"/>
      <c r="D948" s="120"/>
      <c r="E948" s="120"/>
      <c r="F948" s="91"/>
      <c r="G948" s="88"/>
      <c r="H948" s="94"/>
      <c r="I948" s="91"/>
      <c r="J948" s="94"/>
      <c r="K948" s="94"/>
      <c r="L948" s="94"/>
      <c r="M948" s="147"/>
      <c r="N948" s="147"/>
      <c r="O948" s="147"/>
      <c r="P948" s="147"/>
      <c r="Q948" s="94"/>
      <c r="R948" s="91"/>
      <c r="S948" s="148"/>
      <c r="T948" s="91"/>
      <c r="U948" s="101"/>
      <c r="V948" s="101"/>
      <c r="W948" s="101"/>
    </row>
    <row r="949">
      <c r="A949" s="94"/>
      <c r="B949" s="138"/>
      <c r="C949" s="120"/>
      <c r="D949" s="120"/>
      <c r="E949" s="120"/>
      <c r="F949" s="91"/>
      <c r="G949" s="88"/>
      <c r="H949" s="94"/>
      <c r="I949" s="91"/>
      <c r="J949" s="94"/>
      <c r="K949" s="94"/>
      <c r="L949" s="94"/>
      <c r="M949" s="147"/>
      <c r="N949" s="147"/>
      <c r="O949" s="147"/>
      <c r="P949" s="147"/>
      <c r="Q949" s="94"/>
      <c r="R949" s="91"/>
      <c r="S949" s="148"/>
      <c r="T949" s="91"/>
      <c r="U949" s="101"/>
      <c r="V949" s="101"/>
      <c r="W949" s="101"/>
    </row>
    <row r="950">
      <c r="A950" s="94"/>
      <c r="B950" s="138"/>
      <c r="C950" s="120"/>
      <c r="D950" s="120"/>
      <c r="E950" s="120"/>
      <c r="F950" s="91"/>
      <c r="G950" s="88"/>
      <c r="H950" s="94"/>
      <c r="I950" s="91"/>
      <c r="J950" s="94"/>
      <c r="K950" s="94"/>
      <c r="L950" s="94"/>
      <c r="M950" s="147"/>
      <c r="N950" s="147"/>
      <c r="O950" s="147"/>
      <c r="P950" s="147"/>
      <c r="Q950" s="94"/>
      <c r="R950" s="91"/>
      <c r="S950" s="148"/>
      <c r="T950" s="91"/>
      <c r="U950" s="101"/>
      <c r="V950" s="101"/>
      <c r="W950" s="101"/>
    </row>
    <row r="951">
      <c r="A951" s="94"/>
      <c r="B951" s="138"/>
      <c r="C951" s="120"/>
      <c r="D951" s="120"/>
      <c r="E951" s="120"/>
      <c r="F951" s="91"/>
      <c r="G951" s="88"/>
      <c r="H951" s="94"/>
      <c r="I951" s="91"/>
      <c r="J951" s="94"/>
      <c r="K951" s="94"/>
      <c r="L951" s="94"/>
      <c r="M951" s="147"/>
      <c r="N951" s="147"/>
      <c r="O951" s="147"/>
      <c r="P951" s="147"/>
      <c r="Q951" s="94"/>
      <c r="R951" s="91"/>
      <c r="S951" s="148"/>
      <c r="T951" s="91"/>
      <c r="U951" s="101"/>
      <c r="V951" s="101"/>
      <c r="W951" s="101"/>
    </row>
    <row r="952">
      <c r="A952" s="94"/>
      <c r="B952" s="138"/>
      <c r="C952" s="120"/>
      <c r="D952" s="120"/>
      <c r="E952" s="120"/>
      <c r="F952" s="91"/>
      <c r="G952" s="88"/>
      <c r="H952" s="94"/>
      <c r="I952" s="91"/>
      <c r="J952" s="94"/>
      <c r="K952" s="94"/>
      <c r="L952" s="94"/>
      <c r="M952" s="147"/>
      <c r="N952" s="147"/>
      <c r="O952" s="147"/>
      <c r="P952" s="147"/>
      <c r="Q952" s="94"/>
      <c r="R952" s="91"/>
      <c r="S952" s="148"/>
      <c r="T952" s="91"/>
      <c r="U952" s="101"/>
      <c r="V952" s="101"/>
      <c r="W952" s="101"/>
    </row>
    <row r="953">
      <c r="A953" s="94"/>
      <c r="B953" s="138"/>
      <c r="C953" s="120"/>
      <c r="D953" s="120"/>
      <c r="E953" s="120"/>
      <c r="F953" s="91"/>
      <c r="G953" s="88"/>
      <c r="H953" s="94"/>
      <c r="I953" s="91"/>
      <c r="J953" s="94"/>
      <c r="K953" s="94"/>
      <c r="L953" s="94"/>
      <c r="M953" s="147"/>
      <c r="N953" s="147"/>
      <c r="O953" s="147"/>
      <c r="P953" s="147"/>
      <c r="Q953" s="94"/>
      <c r="R953" s="91"/>
      <c r="S953" s="148"/>
      <c r="T953" s="91"/>
      <c r="U953" s="101"/>
      <c r="V953" s="101"/>
      <c r="W953" s="101"/>
    </row>
    <row r="954">
      <c r="A954" s="94"/>
      <c r="B954" s="138"/>
      <c r="C954" s="120"/>
      <c r="D954" s="120"/>
      <c r="E954" s="120"/>
      <c r="F954" s="91"/>
      <c r="G954" s="88"/>
      <c r="H954" s="94"/>
      <c r="I954" s="91"/>
      <c r="J954" s="94"/>
      <c r="K954" s="94"/>
      <c r="L954" s="94"/>
      <c r="M954" s="147"/>
      <c r="N954" s="147"/>
      <c r="O954" s="147"/>
      <c r="P954" s="147"/>
      <c r="Q954" s="94"/>
      <c r="R954" s="91"/>
      <c r="S954" s="148"/>
      <c r="T954" s="91"/>
      <c r="U954" s="101"/>
      <c r="V954" s="101"/>
      <c r="W954" s="101"/>
    </row>
    <row r="955">
      <c r="A955" s="94"/>
      <c r="B955" s="138"/>
      <c r="C955" s="120"/>
      <c r="D955" s="120"/>
      <c r="E955" s="120"/>
      <c r="F955" s="91"/>
      <c r="G955" s="88"/>
      <c r="H955" s="94"/>
      <c r="I955" s="91"/>
      <c r="J955" s="94"/>
      <c r="K955" s="94"/>
      <c r="L955" s="94"/>
      <c r="M955" s="147"/>
      <c r="N955" s="147"/>
      <c r="O955" s="147"/>
      <c r="P955" s="147"/>
      <c r="Q955" s="94"/>
      <c r="R955" s="91"/>
      <c r="S955" s="148"/>
      <c r="T955" s="91"/>
      <c r="U955" s="101"/>
      <c r="V955" s="101"/>
      <c r="W955" s="101"/>
    </row>
    <row r="956">
      <c r="A956" s="94"/>
      <c r="B956" s="138"/>
      <c r="C956" s="120"/>
      <c r="D956" s="120"/>
      <c r="E956" s="120"/>
      <c r="F956" s="91"/>
      <c r="G956" s="88"/>
      <c r="H956" s="94"/>
      <c r="I956" s="91"/>
      <c r="J956" s="94"/>
      <c r="K956" s="94"/>
      <c r="L956" s="94"/>
      <c r="M956" s="147"/>
      <c r="N956" s="147"/>
      <c r="O956" s="147"/>
      <c r="P956" s="147"/>
      <c r="Q956" s="94"/>
      <c r="R956" s="91"/>
      <c r="S956" s="148"/>
      <c r="T956" s="91"/>
      <c r="U956" s="101"/>
      <c r="V956" s="101"/>
      <c r="W956" s="101"/>
    </row>
    <row r="957">
      <c r="A957" s="94"/>
      <c r="B957" s="138"/>
      <c r="C957" s="120"/>
      <c r="D957" s="120"/>
      <c r="E957" s="120"/>
      <c r="F957" s="91"/>
      <c r="G957" s="88"/>
      <c r="H957" s="94"/>
      <c r="I957" s="91"/>
      <c r="J957" s="94"/>
      <c r="K957" s="94"/>
      <c r="L957" s="94"/>
      <c r="M957" s="147"/>
      <c r="N957" s="147"/>
      <c r="O957" s="147"/>
      <c r="P957" s="147"/>
      <c r="Q957" s="94"/>
      <c r="R957" s="91"/>
      <c r="S957" s="148"/>
      <c r="T957" s="91"/>
      <c r="U957" s="101"/>
      <c r="V957" s="101"/>
      <c r="W957" s="101"/>
    </row>
    <row r="958">
      <c r="A958" s="94"/>
      <c r="B958" s="138"/>
      <c r="C958" s="120"/>
      <c r="D958" s="120"/>
      <c r="E958" s="120"/>
      <c r="F958" s="91"/>
      <c r="G958" s="88"/>
      <c r="H958" s="94"/>
      <c r="I958" s="91"/>
      <c r="J958" s="94"/>
      <c r="K958" s="94"/>
      <c r="L958" s="94"/>
      <c r="M958" s="147"/>
      <c r="N958" s="147"/>
      <c r="O958" s="147"/>
      <c r="P958" s="147"/>
      <c r="Q958" s="94"/>
      <c r="R958" s="91"/>
      <c r="S958" s="148"/>
      <c r="T958" s="91"/>
      <c r="U958" s="101"/>
      <c r="V958" s="101"/>
      <c r="W958" s="101"/>
    </row>
    <row r="959">
      <c r="A959" s="94"/>
      <c r="B959" s="138"/>
      <c r="C959" s="120"/>
      <c r="D959" s="120"/>
      <c r="E959" s="120"/>
      <c r="F959" s="91"/>
      <c r="G959" s="88"/>
      <c r="H959" s="94"/>
      <c r="I959" s="91"/>
      <c r="J959" s="94"/>
      <c r="K959" s="94"/>
      <c r="L959" s="94"/>
      <c r="M959" s="147"/>
      <c r="N959" s="147"/>
      <c r="O959" s="147"/>
      <c r="P959" s="147"/>
      <c r="Q959" s="94"/>
      <c r="R959" s="91"/>
      <c r="S959" s="148"/>
      <c r="T959" s="91"/>
      <c r="U959" s="101"/>
      <c r="V959" s="101"/>
      <c r="W959" s="101"/>
    </row>
    <row r="960">
      <c r="A960" s="94"/>
      <c r="B960" s="138"/>
      <c r="C960" s="120"/>
      <c r="D960" s="120"/>
      <c r="E960" s="120"/>
      <c r="F960" s="91"/>
      <c r="G960" s="88"/>
      <c r="H960" s="94"/>
      <c r="I960" s="91"/>
      <c r="J960" s="94"/>
      <c r="K960" s="94"/>
      <c r="L960" s="94"/>
      <c r="M960" s="147"/>
      <c r="N960" s="147"/>
      <c r="O960" s="147"/>
      <c r="P960" s="147"/>
      <c r="Q960" s="94"/>
      <c r="R960" s="91"/>
      <c r="S960" s="148"/>
      <c r="T960" s="91"/>
      <c r="U960" s="101"/>
      <c r="V960" s="101"/>
      <c r="W960" s="101"/>
    </row>
    <row r="961">
      <c r="A961" s="94"/>
      <c r="B961" s="138"/>
      <c r="C961" s="120"/>
      <c r="D961" s="120"/>
      <c r="E961" s="120"/>
      <c r="F961" s="91"/>
      <c r="G961" s="88"/>
      <c r="H961" s="94"/>
      <c r="I961" s="91"/>
      <c r="J961" s="94"/>
      <c r="K961" s="94"/>
      <c r="L961" s="94"/>
      <c r="M961" s="147"/>
      <c r="N961" s="147"/>
      <c r="O961" s="147"/>
      <c r="P961" s="147"/>
      <c r="Q961" s="94"/>
      <c r="R961" s="91"/>
      <c r="S961" s="148"/>
      <c r="T961" s="91"/>
      <c r="U961" s="101"/>
      <c r="V961" s="101"/>
      <c r="W961" s="101"/>
    </row>
    <row r="962">
      <c r="A962" s="94"/>
      <c r="B962" s="138"/>
      <c r="C962" s="120"/>
      <c r="D962" s="120"/>
      <c r="E962" s="120"/>
      <c r="F962" s="91"/>
      <c r="G962" s="88"/>
      <c r="H962" s="94"/>
      <c r="I962" s="91"/>
      <c r="J962" s="94"/>
      <c r="K962" s="94"/>
      <c r="L962" s="94"/>
      <c r="M962" s="147"/>
      <c r="N962" s="147"/>
      <c r="O962" s="147"/>
      <c r="P962" s="147"/>
      <c r="Q962" s="94"/>
      <c r="R962" s="91"/>
      <c r="S962" s="148"/>
      <c r="T962" s="91"/>
      <c r="U962" s="101"/>
      <c r="V962" s="101"/>
      <c r="W962" s="101"/>
    </row>
    <row r="963">
      <c r="A963" s="94"/>
      <c r="B963" s="138"/>
      <c r="C963" s="120"/>
      <c r="D963" s="120"/>
      <c r="E963" s="120"/>
      <c r="F963" s="91"/>
      <c r="G963" s="88"/>
      <c r="H963" s="94"/>
      <c r="I963" s="91"/>
      <c r="J963" s="94"/>
      <c r="K963" s="94"/>
      <c r="L963" s="94"/>
      <c r="M963" s="147"/>
      <c r="N963" s="147"/>
      <c r="O963" s="147"/>
      <c r="P963" s="147"/>
      <c r="Q963" s="94"/>
      <c r="R963" s="91"/>
      <c r="S963" s="148"/>
      <c r="T963" s="91"/>
      <c r="U963" s="101"/>
      <c r="V963" s="101"/>
      <c r="W963" s="101"/>
    </row>
    <row r="964">
      <c r="A964" s="94"/>
      <c r="B964" s="138"/>
      <c r="C964" s="120"/>
      <c r="D964" s="120"/>
      <c r="E964" s="120"/>
      <c r="F964" s="91"/>
      <c r="G964" s="88"/>
      <c r="H964" s="94"/>
      <c r="I964" s="91"/>
      <c r="J964" s="94"/>
      <c r="K964" s="94"/>
      <c r="L964" s="94"/>
      <c r="M964" s="147"/>
      <c r="N964" s="147"/>
      <c r="O964" s="147"/>
      <c r="P964" s="147"/>
      <c r="Q964" s="94"/>
      <c r="R964" s="91"/>
      <c r="S964" s="148"/>
      <c r="T964" s="91"/>
      <c r="U964" s="101"/>
      <c r="V964" s="101"/>
      <c r="W964" s="101"/>
    </row>
    <row r="965">
      <c r="A965" s="94"/>
      <c r="B965" s="138"/>
      <c r="C965" s="120"/>
      <c r="D965" s="120"/>
      <c r="E965" s="120"/>
      <c r="F965" s="91"/>
      <c r="G965" s="88"/>
      <c r="H965" s="94"/>
      <c r="I965" s="91"/>
      <c r="J965" s="94"/>
      <c r="K965" s="94"/>
      <c r="L965" s="94"/>
      <c r="M965" s="147"/>
      <c r="N965" s="147"/>
      <c r="O965" s="147"/>
      <c r="P965" s="147"/>
      <c r="Q965" s="94"/>
      <c r="R965" s="91"/>
      <c r="S965" s="148"/>
      <c r="T965" s="91"/>
      <c r="U965" s="101"/>
      <c r="V965" s="101"/>
      <c r="W965" s="101"/>
    </row>
    <row r="966">
      <c r="A966" s="94"/>
      <c r="B966" s="138"/>
      <c r="C966" s="120"/>
      <c r="D966" s="120"/>
      <c r="E966" s="120"/>
      <c r="F966" s="91"/>
      <c r="G966" s="88"/>
      <c r="H966" s="94"/>
      <c r="I966" s="91"/>
      <c r="J966" s="94"/>
      <c r="K966" s="94"/>
      <c r="L966" s="94"/>
      <c r="M966" s="147"/>
      <c r="N966" s="147"/>
      <c r="O966" s="147"/>
      <c r="P966" s="147"/>
      <c r="Q966" s="94"/>
      <c r="R966" s="91"/>
      <c r="S966" s="148"/>
      <c r="T966" s="91"/>
      <c r="U966" s="101"/>
      <c r="V966" s="101"/>
      <c r="W966" s="101"/>
    </row>
    <row r="967">
      <c r="A967" s="94"/>
      <c r="B967" s="138"/>
      <c r="C967" s="120"/>
      <c r="D967" s="120"/>
      <c r="E967" s="120"/>
      <c r="F967" s="91"/>
      <c r="G967" s="88"/>
      <c r="H967" s="94"/>
      <c r="I967" s="91"/>
      <c r="J967" s="94"/>
      <c r="K967" s="94"/>
      <c r="L967" s="94"/>
      <c r="M967" s="147"/>
      <c r="N967" s="147"/>
      <c r="O967" s="147"/>
      <c r="P967" s="147"/>
      <c r="Q967" s="94"/>
      <c r="R967" s="91"/>
      <c r="S967" s="148"/>
      <c r="T967" s="91"/>
      <c r="U967" s="101"/>
      <c r="V967" s="101"/>
      <c r="W967" s="101"/>
    </row>
    <row r="968">
      <c r="A968" s="94"/>
      <c r="B968" s="138"/>
      <c r="C968" s="120"/>
      <c r="D968" s="120"/>
      <c r="E968" s="120"/>
      <c r="F968" s="91"/>
      <c r="G968" s="88"/>
      <c r="H968" s="94"/>
      <c r="I968" s="91"/>
      <c r="J968" s="94"/>
      <c r="K968" s="94"/>
      <c r="L968" s="94"/>
      <c r="M968" s="147"/>
      <c r="N968" s="147"/>
      <c r="O968" s="147"/>
      <c r="P968" s="147"/>
      <c r="Q968" s="94"/>
      <c r="R968" s="91"/>
      <c r="S968" s="148"/>
      <c r="T968" s="91"/>
      <c r="U968" s="101"/>
      <c r="V968" s="101"/>
      <c r="W968" s="101"/>
    </row>
    <row r="969">
      <c r="A969" s="94"/>
      <c r="B969" s="138"/>
      <c r="C969" s="120"/>
      <c r="D969" s="120"/>
      <c r="E969" s="120"/>
      <c r="F969" s="91"/>
      <c r="G969" s="88"/>
      <c r="H969" s="94"/>
      <c r="I969" s="91"/>
      <c r="J969" s="94"/>
      <c r="K969" s="94"/>
      <c r="L969" s="94"/>
      <c r="M969" s="147"/>
      <c r="N969" s="147"/>
      <c r="O969" s="147"/>
      <c r="P969" s="147"/>
      <c r="Q969" s="94"/>
      <c r="R969" s="91"/>
      <c r="S969" s="148"/>
      <c r="T969" s="91"/>
      <c r="U969" s="101"/>
      <c r="V969" s="101"/>
      <c r="W969" s="101"/>
    </row>
    <row r="970">
      <c r="A970" s="94"/>
      <c r="B970" s="138"/>
      <c r="C970" s="120"/>
      <c r="D970" s="120"/>
      <c r="E970" s="120"/>
      <c r="F970" s="91"/>
      <c r="G970" s="88"/>
      <c r="H970" s="94"/>
      <c r="I970" s="91"/>
      <c r="J970" s="94"/>
      <c r="K970" s="94"/>
      <c r="L970" s="94"/>
      <c r="M970" s="147"/>
      <c r="N970" s="147"/>
      <c r="O970" s="147"/>
      <c r="P970" s="147"/>
      <c r="Q970" s="94"/>
      <c r="R970" s="91"/>
      <c r="S970" s="148"/>
      <c r="T970" s="91"/>
      <c r="U970" s="101"/>
      <c r="V970" s="101"/>
      <c r="W970" s="101"/>
    </row>
    <row r="971">
      <c r="A971" s="94"/>
      <c r="B971" s="138"/>
      <c r="C971" s="120"/>
      <c r="D971" s="120"/>
      <c r="E971" s="120"/>
      <c r="F971" s="91"/>
      <c r="G971" s="88"/>
      <c r="H971" s="94"/>
      <c r="I971" s="91"/>
      <c r="J971" s="94"/>
      <c r="K971" s="94"/>
      <c r="L971" s="94"/>
      <c r="M971" s="147"/>
      <c r="N971" s="147"/>
      <c r="O971" s="147"/>
      <c r="P971" s="147"/>
      <c r="Q971" s="94"/>
      <c r="R971" s="91"/>
      <c r="S971" s="148"/>
      <c r="T971" s="91"/>
      <c r="U971" s="101"/>
      <c r="V971" s="101"/>
      <c r="W971" s="101"/>
    </row>
    <row r="972">
      <c r="A972" s="94"/>
      <c r="B972" s="138"/>
      <c r="C972" s="120"/>
      <c r="D972" s="120"/>
      <c r="E972" s="120"/>
      <c r="F972" s="91"/>
      <c r="G972" s="88"/>
      <c r="H972" s="94"/>
      <c r="I972" s="91"/>
      <c r="J972" s="94"/>
      <c r="K972" s="94"/>
      <c r="L972" s="94"/>
      <c r="M972" s="147"/>
      <c r="N972" s="147"/>
      <c r="O972" s="147"/>
      <c r="P972" s="147"/>
      <c r="Q972" s="94"/>
      <c r="R972" s="91"/>
      <c r="S972" s="148"/>
      <c r="T972" s="91"/>
      <c r="U972" s="101"/>
      <c r="V972" s="101"/>
      <c r="W972" s="101"/>
    </row>
    <row r="973">
      <c r="A973" s="94"/>
      <c r="B973" s="138"/>
      <c r="C973" s="120"/>
      <c r="D973" s="120"/>
      <c r="E973" s="120"/>
      <c r="F973" s="91"/>
      <c r="G973" s="88"/>
      <c r="H973" s="94"/>
      <c r="I973" s="91"/>
      <c r="J973" s="94"/>
      <c r="K973" s="94"/>
      <c r="L973" s="94"/>
      <c r="M973" s="147"/>
      <c r="N973" s="147"/>
      <c r="O973" s="147"/>
      <c r="P973" s="147"/>
      <c r="Q973" s="94"/>
      <c r="R973" s="91"/>
      <c r="S973" s="148"/>
      <c r="T973" s="91"/>
      <c r="U973" s="101"/>
      <c r="V973" s="101"/>
      <c r="W973" s="101"/>
    </row>
    <row r="974">
      <c r="A974" s="94"/>
      <c r="B974" s="138"/>
      <c r="C974" s="120"/>
      <c r="D974" s="120"/>
      <c r="E974" s="120"/>
      <c r="F974" s="91"/>
      <c r="G974" s="88"/>
      <c r="H974" s="94"/>
      <c r="I974" s="91"/>
      <c r="J974" s="94"/>
      <c r="K974" s="94"/>
      <c r="L974" s="94"/>
      <c r="M974" s="147"/>
      <c r="N974" s="147"/>
      <c r="O974" s="147"/>
      <c r="P974" s="147"/>
      <c r="Q974" s="94"/>
      <c r="R974" s="91"/>
      <c r="S974" s="148"/>
      <c r="T974" s="91"/>
      <c r="U974" s="101"/>
      <c r="V974" s="101"/>
      <c r="W974" s="101"/>
    </row>
    <row r="975">
      <c r="A975" s="94"/>
      <c r="B975" s="138"/>
      <c r="C975" s="120"/>
      <c r="D975" s="120"/>
      <c r="E975" s="120"/>
      <c r="F975" s="91"/>
      <c r="G975" s="88"/>
      <c r="H975" s="94"/>
      <c r="I975" s="91"/>
      <c r="J975" s="94"/>
      <c r="K975" s="94"/>
      <c r="L975" s="94"/>
      <c r="M975" s="147"/>
      <c r="N975" s="147"/>
      <c r="O975" s="147"/>
      <c r="P975" s="147"/>
      <c r="Q975" s="94"/>
      <c r="R975" s="91"/>
      <c r="S975" s="148"/>
      <c r="T975" s="91"/>
      <c r="U975" s="101"/>
      <c r="V975" s="101"/>
      <c r="W975" s="101"/>
    </row>
    <row r="976">
      <c r="A976" s="94"/>
      <c r="B976" s="138"/>
      <c r="C976" s="120"/>
      <c r="D976" s="120"/>
      <c r="E976" s="120"/>
      <c r="F976" s="91"/>
      <c r="G976" s="88"/>
      <c r="H976" s="94"/>
      <c r="I976" s="91"/>
      <c r="J976" s="94"/>
      <c r="K976" s="94"/>
      <c r="L976" s="94"/>
      <c r="M976" s="147"/>
      <c r="N976" s="147"/>
      <c r="O976" s="147"/>
      <c r="P976" s="147"/>
      <c r="Q976" s="94"/>
      <c r="R976" s="91"/>
      <c r="S976" s="148"/>
      <c r="T976" s="91"/>
      <c r="U976" s="101"/>
      <c r="V976" s="101"/>
      <c r="W976" s="101"/>
    </row>
    <row r="977">
      <c r="A977" s="94"/>
      <c r="B977" s="138"/>
      <c r="C977" s="120"/>
      <c r="D977" s="120"/>
      <c r="E977" s="120"/>
      <c r="F977" s="91"/>
      <c r="G977" s="88"/>
      <c r="H977" s="94"/>
      <c r="I977" s="91"/>
      <c r="J977" s="94"/>
      <c r="K977" s="94"/>
      <c r="L977" s="94"/>
      <c r="M977" s="147"/>
      <c r="N977" s="147"/>
      <c r="O977" s="147"/>
      <c r="P977" s="147"/>
      <c r="Q977" s="94"/>
      <c r="R977" s="91"/>
      <c r="S977" s="148"/>
      <c r="T977" s="91"/>
      <c r="U977" s="101"/>
      <c r="V977" s="101"/>
      <c r="W977" s="101"/>
    </row>
    <row r="978">
      <c r="A978" s="94"/>
      <c r="B978" s="138"/>
      <c r="C978" s="120"/>
      <c r="D978" s="120"/>
      <c r="E978" s="120"/>
      <c r="F978" s="91"/>
      <c r="G978" s="88"/>
      <c r="H978" s="94"/>
      <c r="I978" s="91"/>
      <c r="J978" s="94"/>
      <c r="K978" s="94"/>
      <c r="L978" s="94"/>
      <c r="M978" s="147"/>
      <c r="N978" s="147"/>
      <c r="O978" s="147"/>
      <c r="P978" s="147"/>
      <c r="Q978" s="94"/>
      <c r="R978" s="91"/>
      <c r="S978" s="148"/>
      <c r="T978" s="91"/>
      <c r="U978" s="101"/>
      <c r="V978" s="101"/>
      <c r="W978" s="101"/>
    </row>
    <row r="979">
      <c r="A979" s="94"/>
      <c r="B979" s="138"/>
      <c r="C979" s="120"/>
      <c r="D979" s="120"/>
      <c r="E979" s="120"/>
      <c r="F979" s="91"/>
      <c r="G979" s="88"/>
      <c r="H979" s="94"/>
      <c r="I979" s="91"/>
      <c r="J979" s="94"/>
      <c r="K979" s="94"/>
      <c r="L979" s="94"/>
      <c r="M979" s="147"/>
      <c r="N979" s="147"/>
      <c r="O979" s="147"/>
      <c r="P979" s="147"/>
      <c r="Q979" s="94"/>
      <c r="R979" s="91"/>
      <c r="S979" s="148"/>
      <c r="T979" s="91"/>
      <c r="U979" s="101"/>
      <c r="V979" s="101"/>
      <c r="W979" s="101"/>
    </row>
    <row r="980">
      <c r="A980" s="94"/>
      <c r="B980" s="138"/>
      <c r="C980" s="120"/>
      <c r="D980" s="120"/>
      <c r="E980" s="120"/>
      <c r="F980" s="91"/>
      <c r="G980" s="88"/>
      <c r="H980" s="94"/>
      <c r="I980" s="91"/>
      <c r="J980" s="94"/>
      <c r="K980" s="94"/>
      <c r="L980" s="94"/>
      <c r="M980" s="147"/>
      <c r="N980" s="147"/>
      <c r="O980" s="147"/>
      <c r="P980" s="147"/>
      <c r="Q980" s="94"/>
      <c r="R980" s="91"/>
      <c r="S980" s="148"/>
      <c r="T980" s="91"/>
      <c r="U980" s="101"/>
      <c r="V980" s="101"/>
      <c r="W980" s="101"/>
    </row>
    <row r="981">
      <c r="A981" s="94"/>
      <c r="B981" s="138"/>
      <c r="C981" s="120"/>
      <c r="D981" s="120"/>
      <c r="E981" s="120"/>
      <c r="F981" s="91"/>
      <c r="G981" s="88"/>
      <c r="H981" s="94"/>
      <c r="I981" s="91"/>
      <c r="J981" s="94"/>
      <c r="K981" s="94"/>
      <c r="L981" s="94"/>
      <c r="M981" s="147"/>
      <c r="N981" s="147"/>
      <c r="O981" s="147"/>
      <c r="P981" s="147"/>
      <c r="Q981" s="94"/>
      <c r="R981" s="91"/>
      <c r="S981" s="148"/>
      <c r="T981" s="91"/>
      <c r="U981" s="101"/>
      <c r="V981" s="101"/>
      <c r="W981" s="101"/>
    </row>
    <row r="982">
      <c r="A982" s="94"/>
      <c r="B982" s="138"/>
      <c r="C982" s="120"/>
      <c r="D982" s="120"/>
      <c r="E982" s="120"/>
      <c r="F982" s="91"/>
      <c r="G982" s="88"/>
      <c r="H982" s="94"/>
      <c r="I982" s="91"/>
      <c r="J982" s="94"/>
      <c r="K982" s="94"/>
      <c r="L982" s="94"/>
      <c r="M982" s="147"/>
      <c r="N982" s="147"/>
      <c r="O982" s="147"/>
      <c r="P982" s="147"/>
      <c r="Q982" s="94"/>
      <c r="R982" s="91"/>
      <c r="S982" s="148"/>
      <c r="T982" s="91"/>
      <c r="U982" s="101"/>
      <c r="V982" s="101"/>
      <c r="W982" s="101"/>
    </row>
    <row r="983">
      <c r="A983" s="94"/>
      <c r="B983" s="138"/>
      <c r="C983" s="120"/>
      <c r="D983" s="120"/>
      <c r="E983" s="120"/>
      <c r="F983" s="91"/>
      <c r="G983" s="88"/>
      <c r="H983" s="94"/>
      <c r="I983" s="91"/>
      <c r="J983" s="94"/>
      <c r="K983" s="94"/>
      <c r="L983" s="94"/>
      <c r="M983" s="147"/>
      <c r="N983" s="147"/>
      <c r="O983" s="147"/>
      <c r="P983" s="147"/>
      <c r="Q983" s="94"/>
      <c r="R983" s="91"/>
      <c r="S983" s="148"/>
      <c r="T983" s="91"/>
      <c r="U983" s="101"/>
      <c r="V983" s="101"/>
      <c r="W983" s="101"/>
    </row>
    <row r="984">
      <c r="A984" s="94"/>
      <c r="B984" s="138"/>
      <c r="C984" s="120"/>
      <c r="D984" s="120"/>
      <c r="E984" s="120"/>
      <c r="F984" s="91"/>
      <c r="G984" s="88"/>
      <c r="H984" s="94"/>
      <c r="I984" s="91"/>
      <c r="J984" s="94"/>
      <c r="K984" s="94"/>
      <c r="L984" s="94"/>
      <c r="M984" s="147"/>
      <c r="N984" s="147"/>
      <c r="O984" s="147"/>
      <c r="P984" s="147"/>
      <c r="Q984" s="94"/>
      <c r="R984" s="91"/>
      <c r="S984" s="148"/>
      <c r="T984" s="91"/>
      <c r="U984" s="101"/>
      <c r="V984" s="101"/>
      <c r="W984" s="101"/>
    </row>
    <row r="985">
      <c r="A985" s="94"/>
      <c r="B985" s="138"/>
      <c r="C985" s="120"/>
      <c r="D985" s="120"/>
      <c r="E985" s="120"/>
      <c r="F985" s="91"/>
      <c r="G985" s="88"/>
      <c r="H985" s="94"/>
      <c r="I985" s="91"/>
      <c r="J985" s="94"/>
      <c r="K985" s="94"/>
      <c r="L985" s="94"/>
      <c r="M985" s="147"/>
      <c r="N985" s="147"/>
      <c r="O985" s="147"/>
      <c r="P985" s="147"/>
      <c r="Q985" s="94"/>
      <c r="R985" s="91"/>
      <c r="S985" s="148"/>
      <c r="T985" s="91"/>
      <c r="U985" s="101"/>
      <c r="V985" s="101"/>
      <c r="W985" s="101"/>
    </row>
    <row r="986">
      <c r="A986" s="94"/>
      <c r="B986" s="138"/>
      <c r="C986" s="120"/>
      <c r="D986" s="120"/>
      <c r="E986" s="120"/>
      <c r="F986" s="91"/>
      <c r="G986" s="88"/>
      <c r="H986" s="94"/>
      <c r="I986" s="91"/>
      <c r="J986" s="94"/>
      <c r="K986" s="94"/>
      <c r="L986" s="94"/>
      <c r="M986" s="147"/>
      <c r="N986" s="147"/>
      <c r="O986" s="147"/>
      <c r="P986" s="147"/>
      <c r="Q986" s="94"/>
      <c r="R986" s="91"/>
      <c r="S986" s="148"/>
      <c r="T986" s="91"/>
      <c r="U986" s="101"/>
      <c r="V986" s="101"/>
      <c r="W986" s="101"/>
    </row>
    <row r="987">
      <c r="A987" s="94"/>
      <c r="B987" s="138"/>
      <c r="C987" s="120"/>
      <c r="D987" s="120"/>
      <c r="E987" s="120"/>
      <c r="F987" s="91"/>
      <c r="G987" s="88"/>
      <c r="H987" s="94"/>
      <c r="I987" s="91"/>
      <c r="J987" s="94"/>
      <c r="K987" s="94"/>
      <c r="L987" s="94"/>
      <c r="M987" s="147"/>
      <c r="N987" s="147"/>
      <c r="O987" s="147"/>
      <c r="P987" s="147"/>
      <c r="Q987" s="94"/>
      <c r="R987" s="91"/>
      <c r="S987" s="148"/>
      <c r="T987" s="91"/>
      <c r="U987" s="101"/>
      <c r="V987" s="101"/>
      <c r="W987" s="101"/>
    </row>
    <row r="988">
      <c r="A988" s="94"/>
      <c r="B988" s="138"/>
      <c r="C988" s="120"/>
      <c r="D988" s="120"/>
      <c r="E988" s="120"/>
      <c r="F988" s="91"/>
      <c r="G988" s="88"/>
      <c r="H988" s="94"/>
      <c r="I988" s="91"/>
      <c r="J988" s="94"/>
      <c r="K988" s="94"/>
      <c r="L988" s="94"/>
      <c r="M988" s="147"/>
      <c r="N988" s="147"/>
      <c r="O988" s="147"/>
      <c r="P988" s="147"/>
      <c r="Q988" s="94"/>
      <c r="R988" s="91"/>
      <c r="S988" s="148"/>
      <c r="T988" s="91"/>
      <c r="U988" s="101"/>
      <c r="V988" s="101"/>
      <c r="W988" s="101"/>
    </row>
    <row r="989">
      <c r="A989" s="94"/>
      <c r="B989" s="138"/>
      <c r="C989" s="120"/>
      <c r="D989" s="120"/>
      <c r="E989" s="120"/>
      <c r="F989" s="91"/>
      <c r="G989" s="88"/>
      <c r="H989" s="94"/>
      <c r="I989" s="91"/>
      <c r="J989" s="94"/>
      <c r="K989" s="94"/>
      <c r="L989" s="94"/>
      <c r="M989" s="147"/>
      <c r="N989" s="147"/>
      <c r="O989" s="147"/>
      <c r="P989" s="147"/>
      <c r="Q989" s="94"/>
      <c r="R989" s="91"/>
      <c r="S989" s="148"/>
      <c r="T989" s="91"/>
      <c r="U989" s="101"/>
      <c r="V989" s="101"/>
      <c r="W989" s="101"/>
    </row>
    <row r="990">
      <c r="A990" s="94"/>
      <c r="B990" s="138"/>
      <c r="C990" s="120"/>
      <c r="D990" s="120"/>
      <c r="E990" s="120"/>
      <c r="F990" s="91"/>
      <c r="G990" s="88"/>
      <c r="H990" s="94"/>
      <c r="I990" s="91"/>
      <c r="J990" s="94"/>
      <c r="K990" s="94"/>
      <c r="L990" s="94"/>
      <c r="M990" s="147"/>
      <c r="N990" s="147"/>
      <c r="O990" s="147"/>
      <c r="P990" s="147"/>
      <c r="Q990" s="94"/>
      <c r="R990" s="91"/>
      <c r="S990" s="148"/>
      <c r="T990" s="91"/>
      <c r="U990" s="101"/>
      <c r="V990" s="101"/>
      <c r="W990" s="101"/>
    </row>
    <row r="991">
      <c r="A991" s="94"/>
      <c r="B991" s="138"/>
      <c r="C991" s="120"/>
      <c r="D991" s="120"/>
      <c r="E991" s="120"/>
      <c r="F991" s="91"/>
      <c r="G991" s="88"/>
      <c r="H991" s="94"/>
      <c r="I991" s="91"/>
      <c r="J991" s="94"/>
      <c r="K991" s="94"/>
      <c r="L991" s="94"/>
      <c r="M991" s="147"/>
      <c r="N991" s="147"/>
      <c r="O991" s="147"/>
      <c r="P991" s="147"/>
      <c r="Q991" s="94"/>
      <c r="R991" s="91"/>
      <c r="S991" s="148"/>
      <c r="T991" s="91"/>
      <c r="U991" s="101"/>
      <c r="V991" s="101"/>
      <c r="W991" s="101"/>
    </row>
    <row r="992">
      <c r="A992" s="94"/>
      <c r="B992" s="138"/>
      <c r="C992" s="120"/>
      <c r="D992" s="120"/>
      <c r="E992" s="120"/>
      <c r="F992" s="91"/>
      <c r="G992" s="88"/>
      <c r="H992" s="94"/>
      <c r="I992" s="91"/>
      <c r="J992" s="94"/>
      <c r="K992" s="94"/>
      <c r="L992" s="94"/>
      <c r="M992" s="147"/>
      <c r="N992" s="147"/>
      <c r="O992" s="147"/>
      <c r="P992" s="147"/>
      <c r="Q992" s="94"/>
      <c r="R992" s="91"/>
      <c r="S992" s="148"/>
      <c r="T992" s="91"/>
      <c r="U992" s="101"/>
      <c r="V992" s="101"/>
      <c r="W992" s="101"/>
    </row>
    <row r="993">
      <c r="A993" s="94"/>
      <c r="B993" s="138"/>
      <c r="C993" s="120"/>
      <c r="D993" s="120"/>
      <c r="E993" s="120"/>
      <c r="F993" s="91"/>
      <c r="G993" s="88"/>
      <c r="H993" s="94"/>
      <c r="I993" s="91"/>
      <c r="J993" s="94"/>
      <c r="K993" s="94"/>
      <c r="L993" s="94"/>
      <c r="M993" s="147"/>
      <c r="N993" s="147"/>
      <c r="O993" s="147"/>
      <c r="P993" s="147"/>
      <c r="Q993" s="94"/>
      <c r="R993" s="91"/>
      <c r="S993" s="148"/>
      <c r="T993" s="91"/>
      <c r="U993" s="101"/>
      <c r="V993" s="101"/>
      <c r="W993" s="101"/>
    </row>
    <row r="994">
      <c r="A994" s="94"/>
      <c r="B994" s="138"/>
      <c r="C994" s="120"/>
      <c r="D994" s="120"/>
      <c r="E994" s="120"/>
      <c r="F994" s="91"/>
      <c r="G994" s="88"/>
      <c r="H994" s="94"/>
      <c r="I994" s="91"/>
      <c r="J994" s="94"/>
      <c r="K994" s="94"/>
      <c r="L994" s="94"/>
      <c r="M994" s="147"/>
      <c r="N994" s="147"/>
      <c r="O994" s="147"/>
      <c r="P994" s="147"/>
      <c r="Q994" s="94"/>
      <c r="R994" s="91"/>
      <c r="S994" s="148"/>
      <c r="T994" s="91"/>
      <c r="U994" s="101"/>
      <c r="V994" s="101"/>
      <c r="W994" s="101"/>
    </row>
    <row r="995">
      <c r="A995" s="94"/>
      <c r="B995" s="138"/>
      <c r="C995" s="120"/>
      <c r="D995" s="120"/>
      <c r="E995" s="120"/>
      <c r="F995" s="91"/>
      <c r="G995" s="88"/>
      <c r="H995" s="94"/>
      <c r="I995" s="91"/>
      <c r="J995" s="94"/>
      <c r="K995" s="94"/>
      <c r="L995" s="94"/>
      <c r="M995" s="147"/>
      <c r="N995" s="147"/>
      <c r="O995" s="147"/>
      <c r="P995" s="147"/>
      <c r="Q995" s="94"/>
      <c r="R995" s="91"/>
      <c r="S995" s="148"/>
      <c r="T995" s="91"/>
      <c r="U995" s="101"/>
      <c r="V995" s="101"/>
      <c r="W995" s="101"/>
    </row>
    <row r="996">
      <c r="A996" s="94"/>
      <c r="B996" s="138"/>
      <c r="C996" s="120"/>
      <c r="D996" s="120"/>
      <c r="E996" s="120"/>
      <c r="F996" s="91"/>
      <c r="G996" s="88"/>
      <c r="H996" s="94"/>
      <c r="I996" s="91"/>
      <c r="J996" s="94"/>
      <c r="K996" s="94"/>
      <c r="L996" s="94"/>
      <c r="M996" s="147"/>
      <c r="N996" s="147"/>
      <c r="O996" s="147"/>
      <c r="P996" s="147"/>
      <c r="Q996" s="94"/>
      <c r="R996" s="91"/>
      <c r="S996" s="148"/>
      <c r="T996" s="91"/>
      <c r="U996" s="101"/>
      <c r="V996" s="101"/>
      <c r="W996" s="101"/>
    </row>
    <row r="997">
      <c r="A997" s="94"/>
      <c r="B997" s="138"/>
      <c r="C997" s="120"/>
      <c r="D997" s="120"/>
      <c r="E997" s="120"/>
      <c r="F997" s="91"/>
      <c r="G997" s="88"/>
      <c r="H997" s="94"/>
      <c r="I997" s="91"/>
      <c r="J997" s="94"/>
      <c r="K997" s="94"/>
      <c r="L997" s="94"/>
      <c r="M997" s="147"/>
      <c r="N997" s="147"/>
      <c r="O997" s="147"/>
      <c r="P997" s="147"/>
      <c r="Q997" s="94"/>
      <c r="R997" s="91"/>
      <c r="S997" s="148"/>
      <c r="T997" s="91"/>
      <c r="U997" s="101"/>
      <c r="V997" s="101"/>
      <c r="W997" s="101"/>
    </row>
    <row r="998">
      <c r="A998" s="94"/>
      <c r="B998" s="138"/>
      <c r="C998" s="120"/>
      <c r="D998" s="120"/>
      <c r="E998" s="120"/>
      <c r="F998" s="91"/>
      <c r="G998" s="88"/>
      <c r="H998" s="94"/>
      <c r="I998" s="91"/>
      <c r="J998" s="94"/>
      <c r="K998" s="94"/>
      <c r="L998" s="94"/>
      <c r="M998" s="147"/>
      <c r="N998" s="147"/>
      <c r="O998" s="147"/>
      <c r="P998" s="147"/>
      <c r="Q998" s="94"/>
      <c r="R998" s="91"/>
      <c r="S998" s="148"/>
      <c r="T998" s="91"/>
      <c r="U998" s="101"/>
      <c r="V998" s="101"/>
      <c r="W998" s="101"/>
    </row>
    <row r="999">
      <c r="A999" s="94"/>
      <c r="B999" s="138"/>
      <c r="C999" s="120"/>
      <c r="D999" s="120"/>
      <c r="E999" s="120"/>
      <c r="F999" s="91"/>
      <c r="G999" s="88"/>
      <c r="H999" s="94"/>
      <c r="I999" s="91"/>
      <c r="J999" s="94"/>
      <c r="K999" s="94"/>
      <c r="L999" s="94"/>
      <c r="M999" s="147"/>
      <c r="N999" s="147"/>
      <c r="O999" s="147"/>
      <c r="P999" s="147"/>
      <c r="Q999" s="94"/>
      <c r="R999" s="91"/>
      <c r="S999" s="148"/>
      <c r="T999" s="91"/>
      <c r="U999" s="101"/>
      <c r="V999" s="101"/>
      <c r="W999" s="101"/>
    </row>
    <row r="1000">
      <c r="A1000" s="94"/>
      <c r="B1000" s="138"/>
      <c r="C1000" s="120"/>
      <c r="D1000" s="120"/>
      <c r="E1000" s="120"/>
      <c r="F1000" s="91"/>
      <c r="G1000" s="88"/>
      <c r="H1000" s="94"/>
      <c r="I1000" s="91"/>
      <c r="J1000" s="94"/>
      <c r="K1000" s="94"/>
      <c r="L1000" s="94"/>
      <c r="M1000" s="147"/>
      <c r="N1000" s="147"/>
      <c r="O1000" s="147"/>
      <c r="P1000" s="147"/>
      <c r="Q1000" s="94"/>
      <c r="R1000" s="91"/>
      <c r="S1000" s="148"/>
      <c r="T1000" s="91"/>
      <c r="U1000" s="101"/>
      <c r="V1000" s="101"/>
      <c r="W1000" s="101"/>
    </row>
    <row r="1001">
      <c r="A1001" s="94"/>
      <c r="B1001" s="138"/>
      <c r="C1001" s="120"/>
      <c r="D1001" s="120"/>
      <c r="E1001" s="120"/>
      <c r="F1001" s="91"/>
      <c r="G1001" s="88"/>
      <c r="H1001" s="94"/>
      <c r="I1001" s="91"/>
      <c r="J1001" s="94"/>
      <c r="K1001" s="94"/>
      <c r="L1001" s="94"/>
      <c r="M1001" s="147"/>
      <c r="N1001" s="147"/>
      <c r="O1001" s="147"/>
      <c r="P1001" s="147"/>
      <c r="Q1001" s="94"/>
      <c r="R1001" s="91"/>
      <c r="S1001" s="148"/>
      <c r="T1001" s="91"/>
      <c r="U1001" s="101"/>
      <c r="V1001" s="101"/>
      <c r="W1001" s="101"/>
    </row>
    <row r="1002">
      <c r="A1002" s="94"/>
      <c r="B1002" s="138"/>
      <c r="C1002" s="120"/>
      <c r="D1002" s="120"/>
      <c r="E1002" s="120"/>
      <c r="F1002" s="91"/>
      <c r="G1002" s="88"/>
      <c r="H1002" s="94"/>
      <c r="I1002" s="91"/>
      <c r="J1002" s="94"/>
      <c r="K1002" s="94"/>
      <c r="L1002" s="94"/>
      <c r="M1002" s="147"/>
      <c r="N1002" s="147"/>
      <c r="O1002" s="147"/>
      <c r="P1002" s="147"/>
      <c r="Q1002" s="94"/>
      <c r="R1002" s="91"/>
      <c r="S1002" s="148"/>
      <c r="T1002" s="91"/>
      <c r="U1002" s="101"/>
      <c r="V1002" s="101"/>
      <c r="W1002" s="101"/>
    </row>
    <row r="1003">
      <c r="A1003" s="94"/>
      <c r="B1003" s="138"/>
      <c r="C1003" s="120"/>
      <c r="D1003" s="120"/>
      <c r="E1003" s="120"/>
      <c r="F1003" s="91"/>
      <c r="G1003" s="88"/>
      <c r="H1003" s="94"/>
      <c r="I1003" s="91"/>
      <c r="J1003" s="94"/>
      <c r="K1003" s="94"/>
      <c r="L1003" s="94"/>
      <c r="M1003" s="147"/>
      <c r="N1003" s="147"/>
      <c r="O1003" s="147"/>
      <c r="P1003" s="147"/>
      <c r="Q1003" s="94"/>
      <c r="R1003" s="91"/>
      <c r="S1003" s="148"/>
      <c r="T1003" s="91"/>
      <c r="U1003" s="101"/>
      <c r="V1003" s="101"/>
      <c r="W1003" s="101"/>
    </row>
    <row r="1004">
      <c r="A1004" s="94"/>
      <c r="B1004" s="138"/>
      <c r="C1004" s="120"/>
      <c r="D1004" s="120"/>
      <c r="E1004" s="120"/>
      <c r="F1004" s="91"/>
      <c r="G1004" s="88"/>
      <c r="H1004" s="94"/>
      <c r="I1004" s="91"/>
      <c r="J1004" s="94"/>
      <c r="K1004" s="94"/>
      <c r="L1004" s="94"/>
      <c r="M1004" s="147"/>
      <c r="N1004" s="147"/>
      <c r="O1004" s="147"/>
      <c r="P1004" s="147"/>
      <c r="Q1004" s="94"/>
      <c r="R1004" s="91"/>
      <c r="S1004" s="148"/>
      <c r="T1004" s="91"/>
      <c r="U1004" s="101"/>
      <c r="V1004" s="101"/>
      <c r="W1004" s="101"/>
    </row>
    <row r="1005">
      <c r="A1005" s="94"/>
      <c r="B1005" s="138"/>
      <c r="C1005" s="120"/>
      <c r="D1005" s="120"/>
      <c r="E1005" s="120"/>
      <c r="F1005" s="91"/>
      <c r="G1005" s="88"/>
      <c r="H1005" s="94"/>
      <c r="I1005" s="91"/>
      <c r="J1005" s="94"/>
      <c r="K1005" s="94"/>
      <c r="L1005" s="94"/>
      <c r="M1005" s="147"/>
      <c r="N1005" s="147"/>
      <c r="O1005" s="147"/>
      <c r="P1005" s="147"/>
      <c r="Q1005" s="94"/>
      <c r="R1005" s="91"/>
      <c r="S1005" s="148"/>
      <c r="T1005" s="91"/>
      <c r="U1005" s="101"/>
      <c r="V1005" s="101"/>
      <c r="W1005" s="101"/>
    </row>
  </sheetData>
  <autoFilter ref="$D$1:$D$1005"/>
  <conditionalFormatting sqref="C2:W1005">
    <cfRule type="expression" dxfId="1" priority="1">
      <formula>$C2="Conforme"</formula>
    </cfRule>
  </conditionalFormatting>
  <conditionalFormatting sqref="C2:W1005">
    <cfRule type="expression" dxfId="2" priority="2">
      <formula>$C2="Dúvida"</formula>
    </cfRule>
  </conditionalFormatting>
  <conditionalFormatting sqref="C2:W1005">
    <cfRule type="expression" dxfId="3" priority="3">
      <formula>$C2&lt;&gt;""</formula>
    </cfRule>
  </conditionalFormatting>
  <dataValidations>
    <dataValidation type="list" allowBlank="1" showErrorMessage="1" sqref="C2:D135 D136 C137:D277 C278:E1005">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duplicada,Conforme,Dúvida"</formula1>
    </dataValidation>
    <dataValidation type="list" allowBlank="1" showErrorMessage="1" sqref="E2:E277">
      <formula1>"Usar como ref"</formula1>
    </dataValidation>
    <dataValidation type="list" allowBlank="1" showErrorMessage="1" sqref="C136">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Duplicado,Conforme,Dúvida"</formula1>
    </dataValidation>
  </dataValidations>
  <hyperlinks>
    <hyperlink r:id="rId4" ref="S2"/>
    <hyperlink r:id="rId5" ref="S4"/>
    <hyperlink r:id="rId6" ref="S5"/>
    <hyperlink r:id="rId7" ref="S7"/>
    <hyperlink r:id="rId8" ref="S8"/>
    <hyperlink r:id="rId9" ref="S11"/>
    <hyperlink r:id="rId10" ref="S14"/>
    <hyperlink r:id="rId11" ref="S16"/>
  </hyperlinks>
  <drawing r:id="rId12"/>
  <legacy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18.63"/>
    <col customWidth="1" min="7" max="7" width="31.75"/>
    <col customWidth="1" min="9" max="9" width="16.0"/>
    <col customWidth="1" min="13" max="13" width="40.75"/>
  </cols>
  <sheetData>
    <row r="1">
      <c r="A1" s="149" t="s">
        <v>9</v>
      </c>
      <c r="B1" s="3" t="s">
        <v>843</v>
      </c>
      <c r="C1" s="3" t="s">
        <v>844</v>
      </c>
      <c r="D1" s="3" t="s">
        <v>845</v>
      </c>
      <c r="E1" s="3" t="s">
        <v>846</v>
      </c>
      <c r="F1" s="150" t="s">
        <v>847</v>
      </c>
      <c r="G1" s="151" t="s">
        <v>848</v>
      </c>
      <c r="H1" s="152" t="s">
        <v>4</v>
      </c>
      <c r="I1" s="153" t="s">
        <v>849</v>
      </c>
      <c r="J1" s="153" t="s">
        <v>5</v>
      </c>
      <c r="K1" s="153" t="s">
        <v>850</v>
      </c>
      <c r="L1" s="153" t="s">
        <v>7</v>
      </c>
      <c r="M1" s="152" t="s">
        <v>8</v>
      </c>
      <c r="N1" s="6"/>
      <c r="O1" s="6"/>
      <c r="P1" s="6"/>
      <c r="Q1" s="6"/>
      <c r="R1" s="6"/>
      <c r="S1" s="6"/>
      <c r="T1" s="6"/>
      <c r="U1" s="6"/>
      <c r="V1" s="6"/>
      <c r="W1" s="6"/>
      <c r="X1" s="6"/>
      <c r="Y1" s="6"/>
      <c r="Z1" s="6"/>
    </row>
    <row r="2">
      <c r="A2" s="15">
        <f t="shared" ref="A2:A10" si="1">SUM(B2:F2)</f>
        <v>5</v>
      </c>
      <c r="B2" s="154">
        <v>1.0</v>
      </c>
      <c r="C2" s="154">
        <v>1.0</v>
      </c>
      <c r="D2" s="154">
        <v>1.0</v>
      </c>
      <c r="E2" s="154">
        <v>1.0</v>
      </c>
      <c r="F2" s="154">
        <v>1.0</v>
      </c>
      <c r="G2" s="68" t="s">
        <v>17</v>
      </c>
      <c r="H2" s="97" t="s">
        <v>18</v>
      </c>
      <c r="I2" s="62"/>
      <c r="J2" s="69">
        <v>2020.0</v>
      </c>
      <c r="K2" s="7"/>
      <c r="L2" s="13" t="s">
        <v>20</v>
      </c>
      <c r="M2" s="100" t="s">
        <v>21</v>
      </c>
      <c r="N2" s="6"/>
      <c r="O2" s="6"/>
      <c r="P2" s="6"/>
      <c r="Q2" s="6"/>
      <c r="R2" s="6"/>
      <c r="S2" s="6"/>
      <c r="T2" s="6"/>
      <c r="U2" s="6"/>
      <c r="V2" s="6"/>
      <c r="W2" s="6"/>
      <c r="X2" s="6"/>
      <c r="Y2" s="6"/>
      <c r="Z2" s="6"/>
    </row>
    <row r="3">
      <c r="A3" s="15">
        <f t="shared" si="1"/>
        <v>5</v>
      </c>
      <c r="B3" s="154">
        <v>1.0</v>
      </c>
      <c r="C3" s="154">
        <v>1.0</v>
      </c>
      <c r="D3" s="154">
        <v>1.0</v>
      </c>
      <c r="E3" s="154">
        <v>1.0</v>
      </c>
      <c r="F3" s="154">
        <v>1.0</v>
      </c>
      <c r="G3" s="68" t="s">
        <v>31</v>
      </c>
      <c r="H3" s="97" t="s">
        <v>32</v>
      </c>
      <c r="I3" s="62"/>
      <c r="J3" s="69">
        <v>2021.0</v>
      </c>
      <c r="K3" s="155"/>
      <c r="L3" s="13" t="s">
        <v>20</v>
      </c>
      <c r="M3" s="100" t="s">
        <v>33</v>
      </c>
      <c r="N3" s="6"/>
      <c r="O3" s="6"/>
      <c r="P3" s="6"/>
      <c r="Q3" s="6"/>
      <c r="R3" s="6"/>
      <c r="S3" s="6"/>
      <c r="T3" s="6"/>
      <c r="U3" s="6"/>
      <c r="V3" s="6"/>
      <c r="W3" s="6"/>
      <c r="X3" s="6"/>
      <c r="Y3" s="6"/>
      <c r="Z3" s="6"/>
    </row>
    <row r="4">
      <c r="A4" s="15">
        <f t="shared" si="1"/>
        <v>5</v>
      </c>
      <c r="B4" s="156">
        <v>1.0</v>
      </c>
      <c r="C4" s="156">
        <v>1.0</v>
      </c>
      <c r="D4" s="156">
        <v>1.0</v>
      </c>
      <c r="E4" s="156">
        <v>1.0</v>
      </c>
      <c r="F4" s="156">
        <v>1.0</v>
      </c>
      <c r="G4" s="68" t="s">
        <v>90</v>
      </c>
      <c r="H4" s="97" t="s">
        <v>91</v>
      </c>
      <c r="I4" s="157"/>
      <c r="J4" s="69">
        <v>2025.0</v>
      </c>
      <c r="K4" s="7"/>
      <c r="L4" s="13" t="s">
        <v>79</v>
      </c>
      <c r="M4" s="158" t="s">
        <v>92</v>
      </c>
      <c r="N4" s="6"/>
      <c r="O4" s="6"/>
      <c r="P4" s="6"/>
      <c r="Q4" s="6"/>
      <c r="R4" s="6"/>
      <c r="S4" s="6"/>
      <c r="T4" s="6"/>
      <c r="U4" s="6"/>
      <c r="V4" s="6"/>
      <c r="W4" s="6"/>
      <c r="X4" s="6"/>
      <c r="Y4" s="6"/>
      <c r="Z4" s="6"/>
    </row>
    <row r="5">
      <c r="A5" s="15">
        <f t="shared" si="1"/>
        <v>5</v>
      </c>
      <c r="B5" s="154">
        <v>1.0</v>
      </c>
      <c r="C5" s="154">
        <v>1.0</v>
      </c>
      <c r="D5" s="154">
        <v>1.0</v>
      </c>
      <c r="E5" s="154">
        <v>1.0</v>
      </c>
      <c r="F5" s="154">
        <v>1.0</v>
      </c>
      <c r="G5" s="68" t="s">
        <v>99</v>
      </c>
      <c r="H5" s="97" t="s">
        <v>100</v>
      </c>
      <c r="I5" s="62"/>
      <c r="J5" s="69">
        <v>2025.0</v>
      </c>
      <c r="K5" s="7"/>
      <c r="L5" s="13" t="s">
        <v>79</v>
      </c>
      <c r="M5" s="158" t="s">
        <v>101</v>
      </c>
      <c r="N5" s="6"/>
      <c r="O5" s="6"/>
      <c r="P5" s="6"/>
      <c r="Q5" s="6"/>
      <c r="R5" s="6"/>
      <c r="S5" s="6"/>
      <c r="T5" s="6"/>
      <c r="U5" s="6"/>
      <c r="V5" s="6"/>
      <c r="W5" s="6"/>
      <c r="X5" s="6"/>
      <c r="Y5" s="6"/>
      <c r="Z5" s="6"/>
    </row>
    <row r="6">
      <c r="A6" s="15">
        <f t="shared" si="1"/>
        <v>4</v>
      </c>
      <c r="B6" s="156">
        <v>1.0</v>
      </c>
      <c r="C6" s="156">
        <v>1.0</v>
      </c>
      <c r="D6" s="156">
        <v>1.0</v>
      </c>
      <c r="E6" s="156">
        <v>1.0</v>
      </c>
      <c r="F6" s="156">
        <v>0.0</v>
      </c>
      <c r="G6" s="68" t="s">
        <v>76</v>
      </c>
      <c r="H6" s="97" t="s">
        <v>77</v>
      </c>
      <c r="I6" s="62"/>
      <c r="J6" s="69">
        <v>2024.0</v>
      </c>
      <c r="K6" s="7"/>
      <c r="L6" s="13" t="s">
        <v>79</v>
      </c>
      <c r="M6" s="123" t="s">
        <v>80</v>
      </c>
      <c r="N6" s="6"/>
      <c r="O6" s="6"/>
      <c r="P6" s="6"/>
      <c r="Q6" s="6"/>
      <c r="R6" s="6"/>
      <c r="S6" s="6"/>
      <c r="T6" s="6"/>
      <c r="U6" s="6"/>
      <c r="V6" s="6"/>
      <c r="W6" s="6"/>
      <c r="X6" s="6"/>
      <c r="Y6" s="6"/>
      <c r="Z6" s="6"/>
    </row>
    <row r="7">
      <c r="A7" s="15">
        <f t="shared" si="1"/>
        <v>2</v>
      </c>
      <c r="B7" s="154">
        <v>0.0</v>
      </c>
      <c r="C7" s="154">
        <v>0.5</v>
      </c>
      <c r="D7" s="154">
        <v>1.0</v>
      </c>
      <c r="E7" s="154">
        <v>0.5</v>
      </c>
      <c r="F7" s="154">
        <v>0.0</v>
      </c>
      <c r="G7" s="68" t="s">
        <v>801</v>
      </c>
      <c r="H7" s="97" t="s">
        <v>803</v>
      </c>
      <c r="I7" s="62"/>
      <c r="J7" s="69">
        <v>2024.0</v>
      </c>
      <c r="K7" s="155"/>
      <c r="L7" s="13" t="s">
        <v>79</v>
      </c>
      <c r="M7" s="141" t="s">
        <v>807</v>
      </c>
      <c r="N7" s="6"/>
      <c r="O7" s="6"/>
      <c r="P7" s="6"/>
      <c r="Q7" s="6"/>
      <c r="R7" s="6"/>
      <c r="S7" s="6"/>
      <c r="T7" s="6"/>
      <c r="U7" s="6"/>
      <c r="V7" s="6"/>
      <c r="W7" s="6"/>
      <c r="X7" s="6"/>
      <c r="Y7" s="6"/>
      <c r="Z7" s="6"/>
    </row>
    <row r="8">
      <c r="A8" s="15">
        <f t="shared" si="1"/>
        <v>3.5</v>
      </c>
      <c r="B8" s="156">
        <v>0.5</v>
      </c>
      <c r="C8" s="156">
        <v>1.0</v>
      </c>
      <c r="D8" s="156">
        <v>1.0</v>
      </c>
      <c r="E8" s="156">
        <v>1.0</v>
      </c>
      <c r="F8" s="156">
        <v>0.0</v>
      </c>
      <c r="G8" s="97" t="s">
        <v>42</v>
      </c>
      <c r="H8" s="97" t="s">
        <v>43</v>
      </c>
      <c r="I8" s="62"/>
      <c r="J8" s="69">
        <v>2022.0</v>
      </c>
      <c r="K8" s="7"/>
      <c r="L8" s="13" t="s">
        <v>45</v>
      </c>
      <c r="M8" s="100" t="s">
        <v>46</v>
      </c>
      <c r="N8" s="6"/>
      <c r="O8" s="6"/>
      <c r="P8" s="6"/>
      <c r="Q8" s="6"/>
      <c r="R8" s="6"/>
      <c r="S8" s="6"/>
      <c r="T8" s="6"/>
      <c r="U8" s="6"/>
      <c r="V8" s="6"/>
      <c r="W8" s="6"/>
      <c r="X8" s="6"/>
      <c r="Y8" s="6"/>
      <c r="Z8" s="6"/>
    </row>
    <row r="9">
      <c r="A9" s="15">
        <f t="shared" si="1"/>
        <v>5</v>
      </c>
      <c r="B9" s="156">
        <v>1.0</v>
      </c>
      <c r="C9" s="156">
        <v>1.0</v>
      </c>
      <c r="D9" s="156">
        <v>1.0</v>
      </c>
      <c r="E9" s="156">
        <v>1.0</v>
      </c>
      <c r="F9" s="156">
        <v>1.0</v>
      </c>
      <c r="G9" s="97" t="s">
        <v>55</v>
      </c>
      <c r="H9" s="97" t="s">
        <v>56</v>
      </c>
      <c r="I9" s="157"/>
      <c r="J9" s="69">
        <v>2022.0</v>
      </c>
      <c r="K9" s="7"/>
      <c r="L9" s="13" t="s">
        <v>45</v>
      </c>
      <c r="M9" s="100" t="s">
        <v>58</v>
      </c>
      <c r="N9" s="6"/>
      <c r="O9" s="6"/>
      <c r="P9" s="6"/>
      <c r="Q9" s="6"/>
      <c r="R9" s="6"/>
      <c r="S9" s="6"/>
      <c r="T9" s="6"/>
      <c r="U9" s="6"/>
      <c r="V9" s="6"/>
      <c r="W9" s="6"/>
      <c r="X9" s="6"/>
      <c r="Y9" s="6"/>
      <c r="Z9" s="6"/>
    </row>
    <row r="10">
      <c r="A10" s="15">
        <f t="shared" si="1"/>
        <v>4</v>
      </c>
      <c r="B10" s="156">
        <v>1.0</v>
      </c>
      <c r="C10" s="156">
        <v>1.0</v>
      </c>
      <c r="D10" s="156">
        <v>1.0</v>
      </c>
      <c r="E10" s="156">
        <v>1.0</v>
      </c>
      <c r="F10" s="156">
        <v>0.0</v>
      </c>
      <c r="G10" s="97" t="s">
        <v>66</v>
      </c>
      <c r="H10" s="97" t="s">
        <v>67</v>
      </c>
      <c r="I10" s="62"/>
      <c r="J10" s="69">
        <v>2022.0</v>
      </c>
      <c r="K10" s="7"/>
      <c r="L10" s="13" t="s">
        <v>45</v>
      </c>
      <c r="M10" s="100" t="s">
        <v>68</v>
      </c>
      <c r="N10" s="6"/>
      <c r="O10" s="6"/>
      <c r="P10" s="6"/>
      <c r="Q10" s="6"/>
      <c r="R10" s="6"/>
      <c r="S10" s="6"/>
      <c r="T10" s="6"/>
      <c r="U10" s="6"/>
      <c r="V10" s="6"/>
      <c r="W10" s="6"/>
      <c r="X10" s="6"/>
      <c r="Y10" s="6"/>
      <c r="Z10" s="6"/>
    </row>
    <row r="11">
      <c r="A11" s="15"/>
      <c r="B11" s="154"/>
      <c r="C11" s="154"/>
      <c r="D11" s="154"/>
      <c r="E11" s="154"/>
      <c r="F11" s="154"/>
      <c r="G11" s="159"/>
      <c r="H11" s="91"/>
      <c r="I11" s="62"/>
      <c r="J11" s="62"/>
      <c r="K11" s="7"/>
      <c r="L11" s="13"/>
      <c r="M11" s="160"/>
      <c r="N11" s="6"/>
      <c r="O11" s="6"/>
      <c r="P11" s="6"/>
      <c r="Q11" s="6"/>
      <c r="R11" s="6"/>
      <c r="S11" s="6"/>
      <c r="T11" s="6"/>
      <c r="U11" s="6"/>
      <c r="V11" s="6"/>
      <c r="W11" s="6"/>
      <c r="X11" s="6"/>
      <c r="Y11" s="6"/>
      <c r="Z11" s="6"/>
    </row>
    <row r="12">
      <c r="A12" s="15"/>
      <c r="B12" s="154"/>
      <c r="C12" s="154"/>
      <c r="D12" s="154"/>
      <c r="E12" s="154"/>
      <c r="F12" s="154"/>
      <c r="G12" s="159"/>
      <c r="H12" s="64"/>
      <c r="I12" s="62"/>
      <c r="J12" s="62"/>
      <c r="K12" s="7"/>
      <c r="L12" s="13"/>
      <c r="M12" s="147"/>
      <c r="N12" s="6"/>
      <c r="O12" s="6"/>
      <c r="P12" s="6"/>
      <c r="Q12" s="6"/>
      <c r="R12" s="6"/>
      <c r="S12" s="6"/>
      <c r="T12" s="6"/>
      <c r="U12" s="6"/>
      <c r="V12" s="6"/>
      <c r="W12" s="6"/>
      <c r="X12" s="6"/>
      <c r="Y12" s="6"/>
      <c r="Z12" s="6"/>
    </row>
    <row r="13">
      <c r="A13" s="15"/>
      <c r="B13" s="154"/>
      <c r="C13" s="154"/>
      <c r="D13" s="154"/>
      <c r="E13" s="154"/>
      <c r="F13" s="154"/>
      <c r="G13" s="159"/>
      <c r="H13" s="64"/>
      <c r="I13" s="62"/>
      <c r="J13" s="62"/>
      <c r="K13" s="7"/>
      <c r="L13" s="13"/>
      <c r="M13" s="147"/>
      <c r="N13" s="6"/>
      <c r="O13" s="6"/>
      <c r="P13" s="6"/>
      <c r="Q13" s="6"/>
      <c r="R13" s="6"/>
      <c r="S13" s="6"/>
      <c r="T13" s="6"/>
      <c r="U13" s="6"/>
      <c r="V13" s="6"/>
      <c r="W13" s="6"/>
      <c r="X13" s="6"/>
      <c r="Y13" s="6"/>
      <c r="Z13" s="6"/>
    </row>
    <row r="14">
      <c r="A14" s="15"/>
      <c r="B14" s="154"/>
      <c r="C14" s="154"/>
      <c r="D14" s="154"/>
      <c r="E14" s="154"/>
      <c r="F14" s="154"/>
      <c r="G14" s="159"/>
      <c r="H14" s="91"/>
      <c r="I14" s="62"/>
      <c r="J14" s="62"/>
      <c r="K14" s="155"/>
      <c r="L14" s="13"/>
      <c r="M14" s="160"/>
      <c r="N14" s="6"/>
      <c r="O14" s="6"/>
      <c r="P14" s="6"/>
      <c r="Q14" s="6"/>
      <c r="R14" s="6"/>
      <c r="S14" s="6"/>
      <c r="T14" s="6"/>
      <c r="U14" s="6"/>
      <c r="V14" s="6"/>
      <c r="W14" s="6"/>
      <c r="X14" s="6"/>
      <c r="Y14" s="6"/>
      <c r="Z14" s="6"/>
    </row>
    <row r="15">
      <c r="A15" s="15"/>
      <c r="B15" s="156"/>
      <c r="C15" s="156"/>
      <c r="D15" s="156"/>
      <c r="E15" s="156"/>
      <c r="F15" s="156"/>
      <c r="G15" s="159"/>
      <c r="H15" s="94"/>
      <c r="I15" s="157"/>
      <c r="J15" s="62"/>
      <c r="K15" s="7"/>
      <c r="L15" s="13"/>
      <c r="M15" s="99"/>
      <c r="N15" s="6"/>
      <c r="O15" s="6"/>
      <c r="P15" s="6"/>
      <c r="Q15" s="6"/>
      <c r="R15" s="6"/>
      <c r="S15" s="6"/>
      <c r="T15" s="6"/>
      <c r="U15" s="6"/>
      <c r="V15" s="6"/>
      <c r="W15" s="6"/>
      <c r="X15" s="6"/>
      <c r="Y15" s="6"/>
      <c r="Z15" s="6"/>
    </row>
    <row r="16">
      <c r="A16" s="15"/>
      <c r="B16" s="154"/>
      <c r="C16" s="154"/>
      <c r="D16" s="154"/>
      <c r="E16" s="154"/>
      <c r="F16" s="154"/>
      <c r="G16" s="159"/>
      <c r="H16" s="91"/>
      <c r="I16" s="62"/>
      <c r="J16" s="62"/>
      <c r="K16" s="7"/>
      <c r="L16" s="13"/>
      <c r="M16" s="160"/>
      <c r="N16" s="6"/>
      <c r="O16" s="6"/>
      <c r="P16" s="6"/>
      <c r="Q16" s="6"/>
      <c r="R16" s="6"/>
      <c r="S16" s="6"/>
      <c r="T16" s="6"/>
      <c r="U16" s="6"/>
      <c r="V16" s="6"/>
      <c r="W16" s="6"/>
      <c r="X16" s="6"/>
      <c r="Y16" s="6"/>
      <c r="Z16" s="6"/>
    </row>
    <row r="17">
      <c r="A17" s="15"/>
      <c r="B17" s="154"/>
      <c r="C17" s="154"/>
      <c r="D17" s="154"/>
      <c r="E17" s="154"/>
      <c r="F17" s="154"/>
      <c r="G17" s="159"/>
      <c r="H17" s="91"/>
      <c r="I17" s="62"/>
      <c r="J17" s="62"/>
      <c r="K17" s="7"/>
      <c r="L17" s="13"/>
      <c r="M17" s="160"/>
      <c r="N17" s="6"/>
      <c r="O17" s="6"/>
      <c r="P17" s="6"/>
      <c r="Q17" s="6"/>
      <c r="R17" s="6"/>
      <c r="S17" s="6"/>
      <c r="T17" s="6"/>
      <c r="U17" s="6"/>
      <c r="V17" s="6"/>
      <c r="W17" s="6"/>
      <c r="X17" s="6"/>
      <c r="Y17" s="6"/>
      <c r="Z17" s="6"/>
    </row>
    <row r="18">
      <c r="A18" s="15"/>
      <c r="B18" s="154"/>
      <c r="C18" s="154"/>
      <c r="D18" s="154"/>
      <c r="E18" s="154"/>
      <c r="F18" s="154"/>
      <c r="G18" s="159"/>
      <c r="H18" s="64"/>
      <c r="I18" s="62"/>
      <c r="J18" s="62"/>
      <c r="K18" s="7"/>
      <c r="L18" s="13"/>
      <c r="M18" s="147"/>
      <c r="N18" s="6"/>
      <c r="O18" s="6"/>
      <c r="P18" s="6"/>
      <c r="Q18" s="6"/>
      <c r="R18" s="6"/>
      <c r="S18" s="6"/>
      <c r="T18" s="6"/>
      <c r="U18" s="6"/>
      <c r="V18" s="6"/>
      <c r="W18" s="6"/>
      <c r="X18" s="6"/>
      <c r="Y18" s="6"/>
      <c r="Z18" s="6"/>
    </row>
    <row r="19">
      <c r="A19" s="15"/>
      <c r="B19" s="156"/>
      <c r="C19" s="156"/>
      <c r="D19" s="156"/>
      <c r="E19" s="156"/>
      <c r="F19" s="156"/>
      <c r="G19" s="159"/>
      <c r="H19" s="64"/>
      <c r="I19" s="62"/>
      <c r="J19" s="62"/>
      <c r="K19" s="7"/>
      <c r="L19" s="13"/>
      <c r="M19" s="147"/>
      <c r="N19" s="6"/>
      <c r="O19" s="6"/>
      <c r="P19" s="6"/>
      <c r="Q19" s="6"/>
      <c r="R19" s="6"/>
      <c r="S19" s="6"/>
      <c r="T19" s="6"/>
      <c r="U19" s="6"/>
      <c r="V19" s="6"/>
      <c r="W19" s="6"/>
      <c r="X19" s="6"/>
      <c r="Y19" s="6"/>
      <c r="Z19" s="6"/>
    </row>
    <row r="20">
      <c r="A20" s="15"/>
      <c r="B20" s="156"/>
      <c r="C20" s="156"/>
      <c r="D20" s="156"/>
      <c r="E20" s="156"/>
      <c r="F20" s="156"/>
      <c r="G20" s="159"/>
      <c r="H20" s="64"/>
      <c r="I20" s="62"/>
      <c r="J20" s="62"/>
      <c r="K20" s="155"/>
      <c r="L20" s="13"/>
      <c r="M20" s="147"/>
      <c r="N20" s="6"/>
      <c r="O20" s="6"/>
      <c r="P20" s="6"/>
      <c r="Q20" s="6"/>
      <c r="R20" s="6"/>
      <c r="S20" s="6"/>
      <c r="T20" s="6"/>
      <c r="U20" s="6"/>
      <c r="V20" s="6"/>
      <c r="W20" s="6"/>
      <c r="X20" s="6"/>
      <c r="Y20" s="6"/>
      <c r="Z20" s="6"/>
    </row>
    <row r="21">
      <c r="A21" s="15"/>
      <c r="B21" s="154"/>
      <c r="C21" s="154"/>
      <c r="D21" s="154"/>
      <c r="E21" s="154"/>
      <c r="F21" s="154"/>
      <c r="G21" s="159"/>
      <c r="H21" s="64"/>
      <c r="I21" s="62"/>
      <c r="J21" s="62"/>
      <c r="K21" s="7"/>
      <c r="L21" s="13"/>
      <c r="M21" s="147"/>
      <c r="N21" s="6"/>
      <c r="O21" s="6"/>
      <c r="P21" s="6"/>
      <c r="Q21" s="6"/>
      <c r="R21" s="6"/>
      <c r="S21" s="6"/>
      <c r="T21" s="6"/>
      <c r="U21" s="6"/>
      <c r="V21" s="6"/>
      <c r="W21" s="6"/>
      <c r="X21" s="6"/>
      <c r="Y21" s="6"/>
      <c r="Z21" s="6"/>
    </row>
    <row r="22">
      <c r="A22" s="15"/>
      <c r="B22" s="156"/>
      <c r="C22" s="156"/>
      <c r="D22" s="156"/>
      <c r="E22" s="156"/>
      <c r="F22" s="156"/>
      <c r="G22" s="159"/>
      <c r="H22" s="91"/>
      <c r="I22" s="91"/>
      <c r="J22" s="62"/>
      <c r="K22" s="7"/>
      <c r="L22" s="13"/>
      <c r="M22" s="120"/>
      <c r="N22" s="6"/>
      <c r="O22" s="6"/>
      <c r="P22" s="6"/>
      <c r="Q22" s="6"/>
      <c r="R22" s="6"/>
      <c r="S22" s="6"/>
      <c r="T22" s="6"/>
      <c r="U22" s="6"/>
      <c r="V22" s="6"/>
      <c r="W22" s="6"/>
      <c r="X22" s="6"/>
      <c r="Y22" s="6"/>
      <c r="Z22" s="6"/>
    </row>
    <row r="23">
      <c r="A23" s="15"/>
      <c r="B23" s="156"/>
      <c r="C23" s="156"/>
      <c r="D23" s="156"/>
      <c r="E23" s="156"/>
      <c r="F23" s="156"/>
      <c r="G23" s="159"/>
      <c r="H23" s="64"/>
      <c r="I23" s="62"/>
      <c r="J23" s="62"/>
      <c r="K23" s="7"/>
      <c r="L23" s="13"/>
      <c r="M23" s="147"/>
      <c r="N23" s="6"/>
      <c r="O23" s="6"/>
      <c r="P23" s="6"/>
      <c r="Q23" s="6"/>
      <c r="R23" s="6"/>
      <c r="S23" s="6"/>
      <c r="T23" s="6"/>
      <c r="U23" s="6"/>
      <c r="V23" s="6"/>
      <c r="W23" s="6"/>
      <c r="X23" s="6"/>
      <c r="Y23" s="6"/>
      <c r="Z23" s="6"/>
    </row>
    <row r="24">
      <c r="A24" s="15"/>
      <c r="B24" s="156"/>
      <c r="C24" s="156"/>
      <c r="D24" s="156"/>
      <c r="E24" s="156"/>
      <c r="F24" s="156"/>
      <c r="G24" s="159"/>
      <c r="H24" s="91"/>
      <c r="I24" s="62"/>
      <c r="J24" s="62"/>
      <c r="K24" s="7"/>
      <c r="L24" s="13"/>
      <c r="M24" s="160"/>
      <c r="N24" s="6"/>
      <c r="O24" s="6"/>
      <c r="P24" s="6"/>
      <c r="Q24" s="6"/>
      <c r="R24" s="6"/>
      <c r="S24" s="6"/>
      <c r="T24" s="6"/>
      <c r="U24" s="6"/>
      <c r="V24" s="6"/>
      <c r="W24" s="6"/>
      <c r="X24" s="6"/>
      <c r="Y24" s="6"/>
      <c r="Z24" s="6"/>
    </row>
    <row r="25">
      <c r="A25" s="15"/>
      <c r="B25" s="154"/>
      <c r="C25" s="154"/>
      <c r="D25" s="154"/>
      <c r="E25" s="154"/>
      <c r="F25" s="154"/>
      <c r="G25" s="159"/>
      <c r="H25" s="64"/>
      <c r="I25" s="62"/>
      <c r="J25" s="62"/>
      <c r="K25" s="7"/>
      <c r="L25" s="13"/>
      <c r="M25" s="147"/>
      <c r="N25" s="6"/>
      <c r="O25" s="6"/>
      <c r="P25" s="6"/>
      <c r="Q25" s="6"/>
      <c r="R25" s="6"/>
      <c r="S25" s="6"/>
      <c r="T25" s="6"/>
      <c r="U25" s="6"/>
      <c r="V25" s="6"/>
      <c r="W25" s="6"/>
      <c r="X25" s="6"/>
      <c r="Y25" s="6"/>
      <c r="Z25" s="6"/>
    </row>
    <row r="26">
      <c r="A26" s="15"/>
      <c r="B26" s="156"/>
      <c r="C26" s="156"/>
      <c r="D26" s="156"/>
      <c r="E26" s="156"/>
      <c r="F26" s="156"/>
      <c r="G26" s="159"/>
      <c r="H26" s="64"/>
      <c r="I26" s="62"/>
      <c r="J26" s="62"/>
      <c r="K26" s="7"/>
      <c r="L26" s="13"/>
      <c r="M26" s="147"/>
      <c r="N26" s="6"/>
      <c r="O26" s="6"/>
      <c r="P26" s="6"/>
      <c r="Q26" s="6"/>
      <c r="R26" s="6"/>
      <c r="S26" s="6"/>
      <c r="T26" s="6"/>
      <c r="U26" s="6"/>
      <c r="V26" s="6"/>
      <c r="W26" s="6"/>
      <c r="X26" s="6"/>
      <c r="Y26" s="6"/>
      <c r="Z26" s="6"/>
    </row>
    <row r="27">
      <c r="A27" s="15"/>
      <c r="B27" s="154"/>
      <c r="C27" s="154"/>
      <c r="D27" s="154"/>
      <c r="E27" s="154"/>
      <c r="F27" s="154"/>
      <c r="G27" s="159"/>
      <c r="H27" s="64"/>
      <c r="I27" s="62"/>
      <c r="J27" s="62"/>
      <c r="K27" s="155"/>
      <c r="L27" s="13"/>
      <c r="M27" s="147"/>
      <c r="N27" s="6"/>
      <c r="O27" s="6"/>
      <c r="P27" s="6"/>
      <c r="Q27" s="6"/>
      <c r="R27" s="6"/>
      <c r="S27" s="6"/>
      <c r="T27" s="6"/>
      <c r="U27" s="6"/>
      <c r="V27" s="6"/>
      <c r="W27" s="6"/>
      <c r="X27" s="6"/>
      <c r="Y27" s="6"/>
      <c r="Z27" s="6"/>
    </row>
    <row r="28">
      <c r="A28" s="15"/>
      <c r="B28" s="154"/>
      <c r="C28" s="154"/>
      <c r="D28" s="154"/>
      <c r="E28" s="154"/>
      <c r="F28" s="154"/>
      <c r="G28" s="159"/>
      <c r="H28" s="64"/>
      <c r="I28" s="62"/>
      <c r="J28" s="62"/>
      <c r="K28" s="7"/>
      <c r="L28" s="13"/>
      <c r="M28" s="147"/>
      <c r="N28" s="6"/>
      <c r="O28" s="6"/>
      <c r="P28" s="6"/>
      <c r="Q28" s="6"/>
      <c r="R28" s="6"/>
      <c r="S28" s="6"/>
      <c r="T28" s="6"/>
      <c r="U28" s="6"/>
      <c r="V28" s="6"/>
      <c r="W28" s="6"/>
      <c r="X28" s="6"/>
      <c r="Y28" s="6"/>
      <c r="Z28" s="6"/>
    </row>
    <row r="29">
      <c r="A29" s="15"/>
      <c r="B29" s="156"/>
      <c r="C29" s="156"/>
      <c r="D29" s="156"/>
      <c r="E29" s="156"/>
      <c r="F29" s="156"/>
      <c r="G29" s="159"/>
      <c r="H29" s="64"/>
      <c r="I29" s="62"/>
      <c r="J29" s="62"/>
      <c r="K29" s="7"/>
      <c r="L29" s="13"/>
      <c r="M29" s="147"/>
      <c r="N29" s="6"/>
      <c r="O29" s="6"/>
      <c r="P29" s="6"/>
      <c r="Q29" s="6"/>
      <c r="R29" s="6"/>
      <c r="S29" s="6"/>
      <c r="T29" s="6"/>
      <c r="U29" s="6"/>
      <c r="V29" s="6"/>
      <c r="W29" s="6"/>
      <c r="X29" s="6"/>
      <c r="Y29" s="6"/>
      <c r="Z29" s="6"/>
    </row>
    <row r="30">
      <c r="A30" s="15"/>
      <c r="B30" s="156"/>
      <c r="C30" s="156"/>
      <c r="D30" s="156"/>
      <c r="E30" s="156"/>
      <c r="F30" s="156"/>
      <c r="G30" s="159"/>
      <c r="H30" s="64"/>
      <c r="I30" s="62"/>
      <c r="J30" s="62"/>
      <c r="K30" s="7"/>
      <c r="L30" s="13"/>
      <c r="M30" s="147"/>
      <c r="N30" s="6"/>
      <c r="O30" s="6"/>
      <c r="P30" s="6"/>
      <c r="Q30" s="6"/>
      <c r="R30" s="6"/>
      <c r="S30" s="6"/>
      <c r="T30" s="6"/>
      <c r="U30" s="6"/>
      <c r="V30" s="6"/>
      <c r="W30" s="6"/>
      <c r="X30" s="6"/>
      <c r="Y30" s="6"/>
      <c r="Z30" s="6"/>
    </row>
    <row r="31">
      <c r="A31" s="15"/>
      <c r="B31" s="156"/>
      <c r="C31" s="156"/>
      <c r="D31" s="156"/>
      <c r="E31" s="156"/>
      <c r="F31" s="156"/>
      <c r="G31" s="159"/>
      <c r="H31" s="64"/>
      <c r="I31" s="62"/>
      <c r="J31" s="62"/>
      <c r="K31" s="7"/>
      <c r="L31" s="13"/>
      <c r="M31" s="147"/>
      <c r="N31" s="6"/>
      <c r="O31" s="6"/>
      <c r="P31" s="6"/>
      <c r="Q31" s="6"/>
      <c r="R31" s="6"/>
      <c r="S31" s="6"/>
      <c r="T31" s="6"/>
      <c r="U31" s="6"/>
      <c r="V31" s="6"/>
      <c r="W31" s="6"/>
      <c r="X31" s="6"/>
      <c r="Y31" s="6"/>
      <c r="Z31" s="6"/>
    </row>
    <row r="32">
      <c r="A32" s="15"/>
      <c r="B32" s="154"/>
      <c r="C32" s="154"/>
      <c r="D32" s="154"/>
      <c r="E32" s="154"/>
      <c r="F32" s="154"/>
      <c r="G32" s="159"/>
      <c r="H32" s="64"/>
      <c r="I32" s="62"/>
      <c r="J32" s="62"/>
      <c r="K32" s="7"/>
      <c r="L32" s="13"/>
      <c r="M32" s="147"/>
      <c r="N32" s="6"/>
      <c r="O32" s="6"/>
      <c r="P32" s="6"/>
      <c r="Q32" s="6"/>
      <c r="R32" s="6"/>
      <c r="S32" s="6"/>
      <c r="T32" s="6"/>
      <c r="U32" s="6"/>
      <c r="V32" s="6"/>
      <c r="W32" s="6"/>
      <c r="X32" s="6"/>
      <c r="Y32" s="6"/>
      <c r="Z32" s="6"/>
    </row>
    <row r="33">
      <c r="A33" s="15"/>
      <c r="B33" s="154"/>
      <c r="C33" s="154"/>
      <c r="D33" s="154"/>
      <c r="E33" s="154"/>
      <c r="F33" s="154"/>
      <c r="G33" s="159"/>
      <c r="H33" s="64"/>
      <c r="I33" s="62"/>
      <c r="J33" s="62"/>
      <c r="K33" s="7"/>
      <c r="L33" s="13"/>
      <c r="M33" s="147"/>
      <c r="N33" s="6"/>
      <c r="O33" s="6"/>
      <c r="P33" s="6"/>
      <c r="Q33" s="6"/>
      <c r="R33" s="6"/>
      <c r="S33" s="6"/>
      <c r="T33" s="6"/>
      <c r="U33" s="6"/>
      <c r="V33" s="6"/>
      <c r="W33" s="6"/>
      <c r="X33" s="6"/>
      <c r="Y33" s="6"/>
      <c r="Z33" s="6"/>
    </row>
    <row r="34">
      <c r="A34" s="15"/>
      <c r="B34" s="156"/>
      <c r="C34" s="156"/>
      <c r="D34" s="156"/>
      <c r="E34" s="156"/>
      <c r="F34" s="156"/>
      <c r="G34" s="159"/>
      <c r="H34" s="91"/>
      <c r="I34" s="91"/>
      <c r="J34" s="62"/>
      <c r="K34" s="7"/>
      <c r="L34" s="13"/>
      <c r="M34" s="161"/>
      <c r="N34" s="6"/>
      <c r="O34" s="6"/>
      <c r="P34" s="6"/>
      <c r="Q34" s="6"/>
      <c r="R34" s="6"/>
      <c r="S34" s="6"/>
      <c r="T34" s="6"/>
      <c r="U34" s="6"/>
      <c r="V34" s="6"/>
      <c r="W34" s="6"/>
      <c r="X34" s="6"/>
      <c r="Y34" s="6"/>
      <c r="Z34" s="6"/>
    </row>
    <row r="35">
      <c r="A35" s="15"/>
      <c r="B35" s="156"/>
      <c r="C35" s="156"/>
      <c r="D35" s="156"/>
      <c r="E35" s="156"/>
      <c r="F35" s="156"/>
      <c r="G35" s="159"/>
      <c r="H35" s="64"/>
      <c r="I35" s="62"/>
      <c r="J35" s="62"/>
      <c r="K35" s="7"/>
      <c r="L35" s="13"/>
      <c r="M35" s="147"/>
      <c r="N35" s="6"/>
      <c r="O35" s="6"/>
      <c r="P35" s="6"/>
      <c r="Q35" s="6"/>
      <c r="R35" s="6"/>
      <c r="S35" s="6"/>
      <c r="T35" s="6"/>
      <c r="U35" s="6"/>
      <c r="V35" s="6"/>
      <c r="W35" s="6"/>
      <c r="X35" s="6"/>
      <c r="Y35" s="6"/>
      <c r="Z35" s="6"/>
    </row>
    <row r="36">
      <c r="A36" s="15"/>
      <c r="B36" s="156"/>
      <c r="C36" s="156"/>
      <c r="D36" s="156"/>
      <c r="E36" s="156"/>
      <c r="F36" s="156"/>
      <c r="G36" s="159"/>
      <c r="H36" s="64"/>
      <c r="I36" s="62"/>
      <c r="J36" s="62"/>
      <c r="K36" s="7"/>
      <c r="L36" s="13"/>
      <c r="M36" s="147"/>
      <c r="N36" s="6"/>
      <c r="O36" s="6"/>
      <c r="P36" s="6"/>
      <c r="Q36" s="6"/>
      <c r="R36" s="6"/>
      <c r="S36" s="6"/>
      <c r="T36" s="6"/>
      <c r="U36" s="6"/>
      <c r="V36" s="6"/>
      <c r="W36" s="6"/>
      <c r="X36" s="6"/>
      <c r="Y36" s="6"/>
      <c r="Z36" s="6"/>
    </row>
    <row r="37">
      <c r="A37" s="15"/>
      <c r="B37" s="156"/>
      <c r="C37" s="156"/>
      <c r="D37" s="156"/>
      <c r="E37" s="156"/>
      <c r="F37" s="156"/>
      <c r="G37" s="159"/>
      <c r="H37" s="64"/>
      <c r="I37" s="62"/>
      <c r="J37" s="62"/>
      <c r="K37" s="7"/>
      <c r="L37" s="13"/>
      <c r="M37" s="147"/>
      <c r="N37" s="6"/>
      <c r="O37" s="6"/>
      <c r="P37" s="6"/>
      <c r="Q37" s="6"/>
      <c r="R37" s="6"/>
      <c r="S37" s="6"/>
      <c r="T37" s="6"/>
      <c r="U37" s="6"/>
      <c r="V37" s="6"/>
      <c r="W37" s="6"/>
      <c r="X37" s="6"/>
      <c r="Y37" s="6"/>
      <c r="Z37" s="6"/>
    </row>
    <row r="38">
      <c r="A38" s="15"/>
      <c r="B38" s="156"/>
      <c r="C38" s="156"/>
      <c r="D38" s="156"/>
      <c r="E38" s="156"/>
      <c r="F38" s="156"/>
      <c r="G38" s="159"/>
      <c r="H38" s="64"/>
      <c r="I38" s="62"/>
      <c r="J38" s="62"/>
      <c r="K38" s="7"/>
      <c r="L38" s="13"/>
      <c r="M38" s="147"/>
      <c r="N38" s="6"/>
      <c r="O38" s="6"/>
      <c r="P38" s="6"/>
      <c r="Q38" s="6"/>
      <c r="R38" s="6"/>
      <c r="S38" s="6"/>
      <c r="T38" s="6"/>
      <c r="U38" s="6"/>
      <c r="V38" s="6"/>
      <c r="W38" s="6"/>
      <c r="X38" s="6"/>
      <c r="Y38" s="6"/>
      <c r="Z38" s="6"/>
    </row>
    <row r="39">
      <c r="A39" s="15"/>
      <c r="B39" s="154"/>
      <c r="C39" s="154"/>
      <c r="D39" s="154"/>
      <c r="E39" s="154"/>
      <c r="F39" s="154"/>
      <c r="G39" s="159"/>
      <c r="H39" s="91"/>
      <c r="I39" s="62"/>
      <c r="J39" s="62"/>
      <c r="K39" s="7"/>
      <c r="L39" s="13"/>
      <c r="M39" s="161"/>
      <c r="N39" s="6"/>
      <c r="O39" s="6"/>
      <c r="P39" s="6"/>
      <c r="Q39" s="6"/>
      <c r="R39" s="6"/>
      <c r="S39" s="6"/>
      <c r="T39" s="6"/>
      <c r="U39" s="6"/>
      <c r="V39" s="6"/>
      <c r="W39" s="6"/>
      <c r="X39" s="6"/>
      <c r="Y39" s="6"/>
      <c r="Z39" s="6"/>
    </row>
    <row r="40">
      <c r="A40" s="15"/>
      <c r="B40" s="156"/>
      <c r="C40" s="156"/>
      <c r="D40" s="156"/>
      <c r="E40" s="156"/>
      <c r="F40" s="156"/>
      <c r="G40" s="159"/>
      <c r="H40" s="64"/>
      <c r="I40" s="62"/>
      <c r="J40" s="62"/>
      <c r="K40" s="7"/>
      <c r="L40" s="13"/>
      <c r="M40" s="147"/>
      <c r="N40" s="6"/>
      <c r="O40" s="6"/>
      <c r="P40" s="6"/>
      <c r="Q40" s="6"/>
      <c r="R40" s="6"/>
      <c r="S40" s="6"/>
      <c r="T40" s="6"/>
      <c r="U40" s="6"/>
      <c r="V40" s="6"/>
      <c r="W40" s="6"/>
      <c r="X40" s="6"/>
      <c r="Y40" s="6"/>
      <c r="Z40" s="6"/>
    </row>
    <row r="41">
      <c r="A41" s="15"/>
      <c r="B41" s="156"/>
      <c r="C41" s="156"/>
      <c r="D41" s="156"/>
      <c r="E41" s="156"/>
      <c r="F41" s="156"/>
      <c r="G41" s="159"/>
      <c r="H41" s="64"/>
      <c r="I41" s="62"/>
      <c r="J41" s="62"/>
      <c r="K41" s="7"/>
      <c r="L41" s="13"/>
      <c r="M41" s="147"/>
      <c r="N41" s="6"/>
      <c r="O41" s="6"/>
      <c r="P41" s="6"/>
      <c r="Q41" s="6"/>
      <c r="R41" s="6"/>
      <c r="S41" s="6"/>
      <c r="T41" s="6"/>
      <c r="U41" s="6"/>
      <c r="V41" s="6"/>
      <c r="W41" s="6"/>
      <c r="X41" s="6"/>
      <c r="Y41" s="6"/>
      <c r="Z41" s="6"/>
    </row>
    <row r="42">
      <c r="A42" s="15"/>
      <c r="B42" s="154"/>
      <c r="C42" s="154"/>
      <c r="D42" s="154"/>
      <c r="E42" s="154"/>
      <c r="F42" s="154"/>
      <c r="G42" s="159"/>
      <c r="H42" s="91"/>
      <c r="I42" s="62"/>
      <c r="J42" s="62"/>
      <c r="K42" s="7"/>
      <c r="L42" s="13"/>
      <c r="M42" s="160"/>
      <c r="N42" s="6"/>
      <c r="O42" s="6"/>
      <c r="P42" s="6"/>
      <c r="Q42" s="6"/>
      <c r="R42" s="6"/>
      <c r="S42" s="6"/>
      <c r="T42" s="6"/>
      <c r="U42" s="6"/>
      <c r="V42" s="6"/>
      <c r="W42" s="6"/>
      <c r="X42" s="6"/>
      <c r="Y42" s="6"/>
      <c r="Z42" s="6"/>
    </row>
    <row r="43">
      <c r="A43" s="15"/>
      <c r="B43" s="154"/>
      <c r="C43" s="154"/>
      <c r="D43" s="154"/>
      <c r="E43" s="154"/>
      <c r="F43" s="154"/>
      <c r="G43" s="159"/>
      <c r="H43" s="91"/>
      <c r="I43" s="62"/>
      <c r="J43" s="62"/>
      <c r="K43" s="7"/>
      <c r="L43" s="13"/>
      <c r="M43" s="160"/>
      <c r="N43" s="6"/>
      <c r="O43" s="6"/>
      <c r="P43" s="6"/>
      <c r="Q43" s="6"/>
      <c r="R43" s="6"/>
      <c r="S43" s="6"/>
      <c r="T43" s="6"/>
      <c r="U43" s="6"/>
      <c r="V43" s="6"/>
      <c r="W43" s="6"/>
      <c r="X43" s="6"/>
      <c r="Y43" s="6"/>
      <c r="Z43" s="6"/>
    </row>
    <row r="44">
      <c r="A44" s="15"/>
      <c r="B44" s="154"/>
      <c r="C44" s="154"/>
      <c r="D44" s="154"/>
      <c r="E44" s="154"/>
      <c r="F44" s="154"/>
      <c r="G44" s="159"/>
      <c r="H44" s="91"/>
      <c r="I44" s="62"/>
      <c r="J44" s="62"/>
      <c r="K44" s="7"/>
      <c r="L44" s="13"/>
      <c r="M44" s="160"/>
      <c r="N44" s="6"/>
      <c r="O44" s="6"/>
      <c r="P44" s="6"/>
      <c r="Q44" s="6"/>
      <c r="R44" s="6"/>
      <c r="S44" s="6"/>
      <c r="T44" s="6"/>
      <c r="U44" s="6"/>
      <c r="V44" s="6"/>
      <c r="W44" s="6"/>
      <c r="X44" s="6"/>
      <c r="Y44" s="6"/>
      <c r="Z44" s="6"/>
    </row>
    <row r="45">
      <c r="A45" s="15"/>
      <c r="B45" s="154"/>
      <c r="C45" s="154"/>
      <c r="D45" s="154"/>
      <c r="E45" s="154"/>
      <c r="F45" s="154"/>
      <c r="G45" s="159"/>
      <c r="H45" s="64"/>
      <c r="I45" s="62"/>
      <c r="J45" s="62"/>
      <c r="K45" s="7"/>
      <c r="L45" s="13"/>
      <c r="M45" s="147"/>
      <c r="N45" s="6"/>
      <c r="O45" s="6"/>
      <c r="P45" s="6"/>
      <c r="Q45" s="6"/>
      <c r="R45" s="6"/>
      <c r="S45" s="6"/>
      <c r="T45" s="6"/>
      <c r="U45" s="6"/>
      <c r="V45" s="6"/>
      <c r="W45" s="6"/>
      <c r="X45" s="6"/>
      <c r="Y45" s="6"/>
      <c r="Z45" s="6"/>
    </row>
    <row r="46">
      <c r="A46" s="15"/>
      <c r="B46" s="156"/>
      <c r="C46" s="156"/>
      <c r="D46" s="156"/>
      <c r="E46" s="156"/>
      <c r="F46" s="156"/>
      <c r="G46" s="159"/>
      <c r="H46" s="64"/>
      <c r="I46" s="62"/>
      <c r="J46" s="62"/>
      <c r="K46" s="7"/>
      <c r="L46" s="13"/>
      <c r="M46" s="147"/>
      <c r="N46" s="6"/>
      <c r="O46" s="6"/>
      <c r="P46" s="6"/>
      <c r="Q46" s="6"/>
      <c r="R46" s="6"/>
      <c r="S46" s="6"/>
      <c r="T46" s="6"/>
      <c r="U46" s="6"/>
      <c r="V46" s="6"/>
      <c r="W46" s="6"/>
      <c r="X46" s="6"/>
      <c r="Y46" s="6"/>
      <c r="Z46" s="6"/>
    </row>
    <row r="47">
      <c r="A47" s="15"/>
      <c r="B47" s="156"/>
      <c r="C47" s="156"/>
      <c r="D47" s="156"/>
      <c r="E47" s="156"/>
      <c r="F47" s="156"/>
      <c r="G47" s="159"/>
      <c r="H47" s="64"/>
      <c r="I47" s="62"/>
      <c r="J47" s="62"/>
      <c r="K47" s="7"/>
      <c r="L47" s="13"/>
      <c r="M47" s="147"/>
      <c r="N47" s="6"/>
      <c r="O47" s="6"/>
      <c r="P47" s="6"/>
      <c r="Q47" s="6"/>
      <c r="R47" s="6"/>
      <c r="S47" s="6"/>
      <c r="T47" s="6"/>
      <c r="U47" s="6"/>
      <c r="V47" s="6"/>
      <c r="W47" s="6"/>
      <c r="X47" s="6"/>
      <c r="Y47" s="6"/>
      <c r="Z47" s="6"/>
    </row>
    <row r="48">
      <c r="A48" s="15"/>
      <c r="B48" s="154"/>
      <c r="C48" s="154"/>
      <c r="D48" s="154"/>
      <c r="E48" s="154"/>
      <c r="F48" s="154"/>
      <c r="G48" s="159"/>
      <c r="H48" s="64"/>
      <c r="I48" s="62"/>
      <c r="J48" s="62"/>
      <c r="K48" s="155"/>
      <c r="L48" s="13"/>
      <c r="M48" s="147"/>
      <c r="N48" s="6"/>
      <c r="O48" s="6"/>
      <c r="P48" s="6"/>
      <c r="Q48" s="6"/>
      <c r="R48" s="6"/>
      <c r="S48" s="6"/>
      <c r="T48" s="6"/>
      <c r="U48" s="6"/>
      <c r="V48" s="6"/>
      <c r="W48" s="6"/>
      <c r="X48" s="6"/>
      <c r="Y48" s="6"/>
      <c r="Z48" s="6"/>
    </row>
    <row r="49">
      <c r="A49" s="15"/>
      <c r="B49" s="156"/>
      <c r="C49" s="156"/>
      <c r="D49" s="156"/>
      <c r="E49" s="156"/>
      <c r="F49" s="156"/>
      <c r="G49" s="159"/>
      <c r="H49" s="91"/>
      <c r="I49" s="91"/>
      <c r="J49" s="62"/>
      <c r="K49" s="7"/>
      <c r="L49" s="13"/>
      <c r="M49" s="162"/>
      <c r="N49" s="6"/>
      <c r="O49" s="6"/>
      <c r="P49" s="6"/>
      <c r="Q49" s="6"/>
      <c r="R49" s="6"/>
      <c r="S49" s="6"/>
      <c r="T49" s="6"/>
      <c r="U49" s="6"/>
      <c r="V49" s="6"/>
      <c r="W49" s="6"/>
      <c r="X49" s="6"/>
      <c r="Y49" s="6"/>
      <c r="Z49" s="6"/>
    </row>
    <row r="50">
      <c r="A50" s="15"/>
      <c r="B50" s="156"/>
      <c r="C50" s="156"/>
      <c r="D50" s="156"/>
      <c r="E50" s="156"/>
      <c r="F50" s="156"/>
      <c r="G50" s="159"/>
      <c r="H50" s="94"/>
      <c r="I50" s="157"/>
      <c r="J50" s="62"/>
      <c r="K50" s="7"/>
      <c r="L50" s="13"/>
      <c r="M50" s="99"/>
      <c r="N50" s="6"/>
      <c r="O50" s="6"/>
      <c r="P50" s="6"/>
      <c r="Q50" s="6"/>
      <c r="R50" s="6"/>
      <c r="S50" s="6"/>
      <c r="T50" s="6"/>
      <c r="U50" s="6"/>
      <c r="V50" s="6"/>
      <c r="W50" s="6"/>
      <c r="X50" s="6"/>
      <c r="Y50" s="6"/>
      <c r="Z50" s="6"/>
    </row>
    <row r="51">
      <c r="A51" s="15"/>
      <c r="B51" s="156"/>
      <c r="C51" s="156"/>
      <c r="D51" s="156"/>
      <c r="E51" s="156"/>
      <c r="F51" s="156"/>
      <c r="G51" s="159"/>
      <c r="H51" s="64"/>
      <c r="I51" s="62"/>
      <c r="J51" s="62"/>
      <c r="K51" s="7"/>
      <c r="L51" s="13"/>
      <c r="M51" s="147"/>
      <c r="N51" s="6"/>
      <c r="O51" s="6"/>
      <c r="P51" s="6"/>
      <c r="Q51" s="6"/>
      <c r="R51" s="6"/>
      <c r="S51" s="6"/>
      <c r="T51" s="6"/>
      <c r="U51" s="6"/>
      <c r="V51" s="6"/>
      <c r="W51" s="6"/>
      <c r="X51" s="6"/>
      <c r="Y51" s="6"/>
      <c r="Z51" s="6"/>
    </row>
    <row r="52">
      <c r="A52" s="15"/>
      <c r="B52" s="156"/>
      <c r="C52" s="156"/>
      <c r="D52" s="156"/>
      <c r="E52" s="156"/>
      <c r="F52" s="156"/>
      <c r="G52" s="159"/>
      <c r="H52" s="64"/>
      <c r="I52" s="62"/>
      <c r="J52" s="62"/>
      <c r="K52" s="7"/>
      <c r="L52" s="13"/>
      <c r="M52" s="147"/>
      <c r="N52" s="6"/>
      <c r="O52" s="6"/>
      <c r="P52" s="6"/>
      <c r="Q52" s="6"/>
      <c r="R52" s="6"/>
      <c r="S52" s="6"/>
      <c r="T52" s="6"/>
      <c r="U52" s="6"/>
      <c r="V52" s="6"/>
      <c r="W52" s="6"/>
      <c r="X52" s="6"/>
      <c r="Y52" s="6"/>
      <c r="Z52" s="6"/>
    </row>
    <row r="53">
      <c r="A53" s="15"/>
      <c r="B53" s="154"/>
      <c r="C53" s="154"/>
      <c r="D53" s="154"/>
      <c r="E53" s="154"/>
      <c r="F53" s="154"/>
      <c r="G53" s="159"/>
      <c r="H53" s="91"/>
      <c r="I53" s="62"/>
      <c r="J53" s="62"/>
      <c r="K53" s="7"/>
      <c r="L53" s="13"/>
      <c r="M53" s="160"/>
      <c r="N53" s="6"/>
      <c r="O53" s="6"/>
      <c r="P53" s="6"/>
      <c r="Q53" s="6"/>
      <c r="R53" s="6"/>
      <c r="S53" s="6"/>
      <c r="T53" s="6"/>
      <c r="U53" s="6"/>
      <c r="V53" s="6"/>
      <c r="W53" s="6"/>
      <c r="X53" s="6"/>
      <c r="Y53" s="6"/>
      <c r="Z53" s="6"/>
    </row>
    <row r="54">
      <c r="A54" s="15"/>
      <c r="B54" s="154"/>
      <c r="C54" s="154"/>
      <c r="D54" s="154"/>
      <c r="E54" s="154"/>
      <c r="F54" s="154"/>
      <c r="G54" s="159"/>
      <c r="H54" s="91"/>
      <c r="I54" s="62"/>
      <c r="J54" s="62"/>
      <c r="K54" s="7"/>
      <c r="L54" s="13"/>
      <c r="M54" s="160"/>
      <c r="N54" s="6"/>
      <c r="O54" s="6"/>
      <c r="P54" s="6"/>
      <c r="Q54" s="6"/>
      <c r="R54" s="6"/>
      <c r="S54" s="6"/>
      <c r="T54" s="6"/>
      <c r="U54" s="6"/>
      <c r="V54" s="6"/>
      <c r="W54" s="6"/>
      <c r="X54" s="6"/>
      <c r="Y54" s="6"/>
      <c r="Z54" s="6"/>
    </row>
    <row r="55">
      <c r="A55" s="15"/>
      <c r="B55" s="154"/>
      <c r="C55" s="154"/>
      <c r="D55" s="154"/>
      <c r="E55" s="154"/>
      <c r="F55" s="154"/>
      <c r="G55" s="159"/>
      <c r="H55" s="64"/>
      <c r="I55" s="62"/>
      <c r="J55" s="62"/>
      <c r="K55" s="7"/>
      <c r="L55" s="13"/>
      <c r="M55" s="147"/>
      <c r="N55" s="6"/>
      <c r="O55" s="6"/>
      <c r="P55" s="6"/>
      <c r="Q55" s="6"/>
      <c r="R55" s="6"/>
      <c r="S55" s="6"/>
      <c r="T55" s="6"/>
      <c r="U55" s="6"/>
      <c r="V55" s="6"/>
      <c r="W55" s="6"/>
      <c r="X55" s="6"/>
      <c r="Y55" s="6"/>
      <c r="Z55" s="6"/>
    </row>
    <row r="56">
      <c r="A56" s="15"/>
      <c r="B56" s="156"/>
      <c r="C56" s="156"/>
      <c r="D56" s="156"/>
      <c r="E56" s="156"/>
      <c r="F56" s="156"/>
      <c r="G56" s="159"/>
      <c r="H56" s="64"/>
      <c r="I56" s="62"/>
      <c r="J56" s="62"/>
      <c r="K56" s="7"/>
      <c r="L56" s="13"/>
      <c r="M56" s="147"/>
      <c r="N56" s="6"/>
      <c r="O56" s="6"/>
      <c r="P56" s="6"/>
      <c r="Q56" s="6"/>
      <c r="R56" s="6"/>
      <c r="S56" s="6"/>
      <c r="T56" s="6"/>
      <c r="U56" s="6"/>
      <c r="V56" s="6"/>
      <c r="W56" s="6"/>
      <c r="X56" s="6"/>
      <c r="Y56" s="6"/>
      <c r="Z56" s="6"/>
    </row>
    <row r="57">
      <c r="A57" s="15"/>
      <c r="B57" s="154"/>
      <c r="C57" s="154"/>
      <c r="D57" s="154"/>
      <c r="E57" s="154"/>
      <c r="F57" s="154"/>
      <c r="G57" s="159"/>
      <c r="H57" s="91"/>
      <c r="I57" s="62"/>
      <c r="J57" s="62"/>
      <c r="K57" s="7"/>
      <c r="L57" s="13"/>
      <c r="M57" s="160"/>
      <c r="N57" s="6"/>
      <c r="O57" s="6"/>
      <c r="P57" s="6"/>
      <c r="Q57" s="6"/>
      <c r="R57" s="6"/>
      <c r="S57" s="6"/>
      <c r="T57" s="6"/>
      <c r="U57" s="6"/>
      <c r="V57" s="6"/>
      <c r="W57" s="6"/>
      <c r="X57" s="6"/>
      <c r="Y57" s="6"/>
      <c r="Z57" s="6"/>
    </row>
    <row r="58">
      <c r="A58" s="15"/>
      <c r="B58" s="156"/>
      <c r="C58" s="156"/>
      <c r="D58" s="156"/>
      <c r="E58" s="156"/>
      <c r="F58" s="156"/>
      <c r="G58" s="159"/>
      <c r="H58" s="94"/>
      <c r="I58" s="157"/>
      <c r="J58" s="62"/>
      <c r="K58" s="7"/>
      <c r="L58" s="13"/>
      <c r="M58" s="99"/>
      <c r="N58" s="6"/>
      <c r="O58" s="6"/>
      <c r="P58" s="6"/>
      <c r="Q58" s="6"/>
      <c r="R58" s="6"/>
      <c r="S58" s="6"/>
      <c r="T58" s="6"/>
      <c r="U58" s="6"/>
      <c r="V58" s="6"/>
      <c r="W58" s="6"/>
      <c r="X58" s="6"/>
      <c r="Y58" s="6"/>
      <c r="Z58" s="6"/>
    </row>
    <row r="59">
      <c r="A59" s="15"/>
      <c r="B59" s="156"/>
      <c r="C59" s="156"/>
      <c r="D59" s="156"/>
      <c r="E59" s="156"/>
      <c r="F59" s="156"/>
      <c r="G59" s="159"/>
      <c r="H59" s="64"/>
      <c r="I59" s="62"/>
      <c r="J59" s="62"/>
      <c r="K59" s="7"/>
      <c r="L59" s="13"/>
      <c r="M59" s="147"/>
      <c r="N59" s="6"/>
      <c r="O59" s="6"/>
      <c r="P59" s="6"/>
      <c r="Q59" s="6"/>
      <c r="R59" s="6"/>
      <c r="S59" s="6"/>
      <c r="T59" s="6"/>
      <c r="U59" s="6"/>
      <c r="V59" s="6"/>
      <c r="W59" s="6"/>
      <c r="X59" s="6"/>
      <c r="Y59" s="6"/>
      <c r="Z59" s="6"/>
    </row>
    <row r="60">
      <c r="A60" s="15"/>
      <c r="B60" s="156"/>
      <c r="C60" s="156"/>
      <c r="D60" s="156"/>
      <c r="E60" s="156"/>
      <c r="F60" s="156"/>
      <c r="G60" s="159"/>
      <c r="H60" s="64"/>
      <c r="I60" s="62"/>
      <c r="J60" s="62"/>
      <c r="K60" s="7"/>
      <c r="L60" s="13"/>
      <c r="M60" s="147"/>
      <c r="N60" s="6"/>
      <c r="O60" s="6"/>
      <c r="P60" s="6"/>
      <c r="Q60" s="6"/>
      <c r="R60" s="6"/>
      <c r="S60" s="6"/>
      <c r="T60" s="6"/>
      <c r="U60" s="6"/>
      <c r="V60" s="6"/>
      <c r="W60" s="6"/>
      <c r="X60" s="6"/>
      <c r="Y60" s="6"/>
      <c r="Z60" s="6"/>
    </row>
    <row r="61">
      <c r="A61" s="15"/>
      <c r="B61" s="156"/>
      <c r="C61" s="156"/>
      <c r="D61" s="156"/>
      <c r="E61" s="156"/>
      <c r="F61" s="156"/>
      <c r="G61" s="159"/>
      <c r="H61" s="91"/>
      <c r="I61" s="62"/>
      <c r="J61" s="62"/>
      <c r="K61" s="7"/>
      <c r="L61" s="13"/>
      <c r="M61" s="160"/>
      <c r="N61" s="6"/>
      <c r="O61" s="6"/>
      <c r="P61" s="6"/>
      <c r="Q61" s="6"/>
      <c r="R61" s="6"/>
      <c r="S61" s="6"/>
      <c r="T61" s="6"/>
      <c r="U61" s="6"/>
      <c r="V61" s="6"/>
      <c r="W61" s="6"/>
      <c r="X61" s="6"/>
      <c r="Y61" s="6"/>
      <c r="Z61" s="6"/>
    </row>
    <row r="62">
      <c r="A62" s="15"/>
      <c r="B62" s="156"/>
      <c r="C62" s="156"/>
      <c r="D62" s="156"/>
      <c r="E62" s="156"/>
      <c r="F62" s="156"/>
      <c r="G62" s="159"/>
      <c r="H62" s="163"/>
      <c r="I62" s="164"/>
      <c r="J62" s="165"/>
      <c r="K62" s="7"/>
      <c r="L62" s="13"/>
      <c r="M62" s="166"/>
      <c r="N62" s="6"/>
      <c r="O62" s="6"/>
      <c r="P62" s="6"/>
      <c r="Q62" s="6"/>
      <c r="R62" s="6"/>
      <c r="S62" s="6"/>
      <c r="T62" s="6"/>
      <c r="U62" s="6"/>
      <c r="V62" s="6"/>
      <c r="W62" s="6"/>
      <c r="X62" s="6"/>
      <c r="Y62" s="6"/>
      <c r="Z62" s="6"/>
    </row>
    <row r="63">
      <c r="A63" s="15"/>
      <c r="B63" s="154"/>
      <c r="C63" s="154"/>
      <c r="D63" s="154"/>
      <c r="E63" s="154"/>
      <c r="F63" s="154"/>
      <c r="G63" s="159"/>
      <c r="H63" s="64"/>
      <c r="I63" s="62"/>
      <c r="J63" s="62"/>
      <c r="K63" s="7"/>
      <c r="L63" s="13"/>
      <c r="M63" s="147"/>
      <c r="N63" s="6"/>
      <c r="O63" s="6"/>
      <c r="P63" s="6"/>
      <c r="Q63" s="6"/>
      <c r="R63" s="6"/>
      <c r="S63" s="6"/>
      <c r="T63" s="6"/>
      <c r="U63" s="6"/>
      <c r="V63" s="6"/>
      <c r="W63" s="6"/>
      <c r="X63" s="6"/>
      <c r="Y63" s="6"/>
      <c r="Z63" s="6"/>
    </row>
    <row r="64">
      <c r="A64" s="15"/>
      <c r="B64" s="156"/>
      <c r="C64" s="156"/>
      <c r="D64" s="156"/>
      <c r="E64" s="156"/>
      <c r="F64" s="156"/>
      <c r="G64" s="159"/>
      <c r="H64" s="64"/>
      <c r="I64" s="62"/>
      <c r="J64" s="62"/>
      <c r="K64" s="155"/>
      <c r="L64" s="13"/>
      <c r="M64" s="147"/>
      <c r="N64" s="6"/>
      <c r="O64" s="6"/>
      <c r="P64" s="6"/>
      <c r="Q64" s="6"/>
      <c r="R64" s="6"/>
      <c r="S64" s="6"/>
      <c r="T64" s="6"/>
      <c r="U64" s="6"/>
      <c r="V64" s="6"/>
      <c r="W64" s="6"/>
      <c r="X64" s="6"/>
      <c r="Y64" s="6"/>
      <c r="Z64" s="6"/>
    </row>
    <row r="65">
      <c r="A65" s="15"/>
      <c r="B65" s="154"/>
      <c r="C65" s="154"/>
      <c r="D65" s="154"/>
      <c r="E65" s="154"/>
      <c r="F65" s="154"/>
      <c r="G65" s="159"/>
      <c r="H65" s="64"/>
      <c r="I65" s="62"/>
      <c r="J65" s="62"/>
      <c r="K65" s="7"/>
      <c r="L65" s="13"/>
      <c r="M65" s="147"/>
      <c r="N65" s="6"/>
      <c r="O65" s="6"/>
      <c r="P65" s="6"/>
      <c r="Q65" s="6"/>
      <c r="R65" s="6"/>
      <c r="S65" s="6"/>
      <c r="T65" s="6"/>
      <c r="U65" s="6"/>
      <c r="V65" s="6"/>
      <c r="W65" s="6"/>
      <c r="X65" s="6"/>
      <c r="Y65" s="6"/>
      <c r="Z65" s="6"/>
    </row>
    <row r="66">
      <c r="A66" s="15"/>
      <c r="B66" s="154"/>
      <c r="C66" s="154"/>
      <c r="D66" s="154"/>
      <c r="E66" s="154"/>
      <c r="F66" s="154"/>
      <c r="G66" s="159"/>
      <c r="H66" s="64"/>
      <c r="I66" s="62"/>
      <c r="J66" s="62"/>
      <c r="K66" s="7"/>
      <c r="L66" s="13"/>
      <c r="M66" s="147"/>
      <c r="N66" s="6"/>
      <c r="O66" s="6"/>
      <c r="P66" s="6"/>
      <c r="Q66" s="6"/>
      <c r="R66" s="6"/>
      <c r="S66" s="6"/>
      <c r="T66" s="6"/>
      <c r="U66" s="6"/>
      <c r="V66" s="6"/>
      <c r="W66" s="6"/>
      <c r="X66" s="6"/>
      <c r="Y66" s="6"/>
      <c r="Z66" s="6"/>
    </row>
    <row r="67">
      <c r="A67" s="15"/>
      <c r="B67" s="154"/>
      <c r="C67" s="154"/>
      <c r="D67" s="154"/>
      <c r="E67" s="154"/>
      <c r="F67" s="154"/>
      <c r="G67" s="159"/>
      <c r="H67" s="91"/>
      <c r="I67" s="62"/>
      <c r="J67" s="62"/>
      <c r="K67" s="7"/>
      <c r="L67" s="13"/>
      <c r="M67" s="160"/>
      <c r="N67" s="6"/>
      <c r="O67" s="6"/>
      <c r="P67" s="6"/>
      <c r="Q67" s="6"/>
      <c r="R67" s="6"/>
      <c r="S67" s="6"/>
      <c r="T67" s="6"/>
      <c r="U67" s="6"/>
      <c r="V67" s="6"/>
      <c r="W67" s="6"/>
      <c r="X67" s="6"/>
      <c r="Y67" s="6"/>
      <c r="Z67" s="6"/>
    </row>
    <row r="68">
      <c r="A68" s="15"/>
      <c r="B68" s="156"/>
      <c r="C68" s="156"/>
      <c r="D68" s="156"/>
      <c r="E68" s="156"/>
      <c r="F68" s="156"/>
      <c r="G68" s="159"/>
      <c r="H68" s="163"/>
      <c r="I68" s="164"/>
      <c r="J68" s="165"/>
      <c r="K68" s="7"/>
      <c r="L68" s="13"/>
      <c r="M68" s="163"/>
      <c r="N68" s="6"/>
      <c r="O68" s="6"/>
      <c r="P68" s="6"/>
      <c r="Q68" s="6"/>
      <c r="R68" s="6"/>
      <c r="S68" s="6"/>
      <c r="T68" s="6"/>
      <c r="U68" s="6"/>
      <c r="V68" s="6"/>
      <c r="W68" s="6"/>
      <c r="X68" s="6"/>
      <c r="Y68" s="6"/>
      <c r="Z68" s="6"/>
    </row>
    <row r="69">
      <c r="A69" s="15"/>
      <c r="B69" s="156"/>
      <c r="C69" s="156"/>
      <c r="D69" s="156"/>
      <c r="E69" s="156"/>
      <c r="F69" s="156"/>
      <c r="G69" s="159"/>
      <c r="H69" s="64"/>
      <c r="I69" s="62"/>
      <c r="J69" s="62"/>
      <c r="K69" s="7"/>
      <c r="L69" s="13"/>
      <c r="M69" s="147"/>
      <c r="N69" s="6"/>
      <c r="O69" s="6"/>
      <c r="P69" s="6"/>
      <c r="Q69" s="6"/>
      <c r="R69" s="6"/>
      <c r="S69" s="6"/>
      <c r="T69" s="6"/>
      <c r="U69" s="6"/>
      <c r="V69" s="6"/>
      <c r="W69" s="6"/>
      <c r="X69" s="6"/>
      <c r="Y69" s="6"/>
      <c r="Z69" s="6"/>
    </row>
    <row r="70">
      <c r="A70" s="15"/>
      <c r="B70" s="156"/>
      <c r="C70" s="156"/>
      <c r="D70" s="156"/>
      <c r="E70" s="156"/>
      <c r="F70" s="156"/>
      <c r="G70" s="159"/>
      <c r="H70" s="64"/>
      <c r="I70" s="62"/>
      <c r="J70" s="62"/>
      <c r="K70" s="7"/>
      <c r="L70" s="13"/>
      <c r="M70" s="147"/>
      <c r="N70" s="6"/>
      <c r="O70" s="6"/>
      <c r="P70" s="6"/>
      <c r="Q70" s="6"/>
      <c r="R70" s="6"/>
      <c r="S70" s="6"/>
      <c r="T70" s="6"/>
      <c r="U70" s="6"/>
      <c r="V70" s="6"/>
      <c r="W70" s="6"/>
      <c r="X70" s="6"/>
      <c r="Y70" s="6"/>
      <c r="Z70" s="6"/>
    </row>
    <row r="71">
      <c r="A71" s="15"/>
      <c r="B71" s="156"/>
      <c r="C71" s="156"/>
      <c r="D71" s="156"/>
      <c r="E71" s="156"/>
      <c r="F71" s="156"/>
      <c r="G71" s="159"/>
      <c r="H71" s="91"/>
      <c r="I71" s="62"/>
      <c r="J71" s="62"/>
      <c r="K71" s="7"/>
      <c r="L71" s="13"/>
      <c r="M71" s="160"/>
      <c r="N71" s="6"/>
      <c r="O71" s="6"/>
      <c r="P71" s="6"/>
      <c r="Q71" s="6"/>
      <c r="R71" s="6"/>
      <c r="S71" s="6"/>
      <c r="T71" s="6"/>
      <c r="U71" s="6"/>
      <c r="V71" s="6"/>
      <c r="W71" s="6"/>
      <c r="X71" s="6"/>
      <c r="Y71" s="6"/>
      <c r="Z71" s="6"/>
    </row>
    <row r="72">
      <c r="A72" s="15"/>
      <c r="B72" s="156"/>
      <c r="C72" s="156"/>
      <c r="D72" s="156"/>
      <c r="E72" s="156"/>
      <c r="F72" s="156"/>
      <c r="G72" s="159"/>
      <c r="H72" s="91"/>
      <c r="I72" s="62"/>
      <c r="J72" s="62"/>
      <c r="K72" s="7"/>
      <c r="L72" s="13"/>
      <c r="M72" s="160"/>
      <c r="N72" s="6"/>
      <c r="O72" s="6"/>
      <c r="P72" s="6"/>
      <c r="Q72" s="6"/>
      <c r="R72" s="6"/>
      <c r="S72" s="6"/>
      <c r="T72" s="6"/>
      <c r="U72" s="6"/>
      <c r="V72" s="6"/>
      <c r="W72" s="6"/>
      <c r="X72" s="6"/>
      <c r="Y72" s="6"/>
      <c r="Z72" s="6"/>
    </row>
    <row r="73">
      <c r="A73" s="15"/>
      <c r="B73" s="156"/>
      <c r="C73" s="156"/>
      <c r="D73" s="156"/>
      <c r="E73" s="156"/>
      <c r="F73" s="156"/>
      <c r="G73" s="159"/>
      <c r="H73" s="64"/>
      <c r="I73" s="62"/>
      <c r="J73" s="62"/>
      <c r="K73" s="7"/>
      <c r="L73" s="13"/>
      <c r="M73" s="147"/>
      <c r="N73" s="6"/>
      <c r="O73" s="6"/>
      <c r="P73" s="6"/>
      <c r="Q73" s="6"/>
      <c r="R73" s="6"/>
      <c r="S73" s="6"/>
      <c r="T73" s="6"/>
      <c r="U73" s="6"/>
      <c r="V73" s="6"/>
      <c r="W73" s="6"/>
      <c r="X73" s="6"/>
      <c r="Y73" s="6"/>
      <c r="Z73" s="6"/>
    </row>
    <row r="74">
      <c r="A74" s="15"/>
      <c r="B74" s="156"/>
      <c r="C74" s="156"/>
      <c r="D74" s="156"/>
      <c r="E74" s="156"/>
      <c r="F74" s="156"/>
      <c r="G74" s="159"/>
      <c r="H74" s="64"/>
      <c r="I74" s="62"/>
      <c r="J74" s="62"/>
      <c r="K74" s="7"/>
      <c r="L74" s="13"/>
      <c r="M74" s="147"/>
      <c r="N74" s="6"/>
      <c r="O74" s="6"/>
      <c r="P74" s="6"/>
      <c r="Q74" s="6"/>
      <c r="R74" s="6"/>
      <c r="S74" s="6"/>
      <c r="T74" s="6"/>
      <c r="U74" s="6"/>
      <c r="V74" s="6"/>
      <c r="W74" s="6"/>
      <c r="X74" s="6"/>
      <c r="Y74" s="6"/>
      <c r="Z74" s="6"/>
    </row>
    <row r="75">
      <c r="A75" s="15"/>
      <c r="B75" s="154"/>
      <c r="C75" s="154"/>
      <c r="D75" s="154"/>
      <c r="E75" s="154"/>
      <c r="F75" s="154"/>
      <c r="G75" s="159"/>
      <c r="H75" s="64"/>
      <c r="I75" s="62"/>
      <c r="J75" s="62"/>
      <c r="K75" s="7"/>
      <c r="L75" s="13"/>
      <c r="M75" s="147"/>
      <c r="N75" s="6"/>
      <c r="O75" s="6"/>
      <c r="P75" s="6"/>
      <c r="Q75" s="6"/>
      <c r="R75" s="6"/>
      <c r="S75" s="6"/>
      <c r="T75" s="6"/>
      <c r="U75" s="6"/>
      <c r="V75" s="6"/>
      <c r="W75" s="6"/>
      <c r="X75" s="6"/>
      <c r="Y75" s="6"/>
      <c r="Z75" s="6"/>
    </row>
    <row r="76">
      <c r="A76" s="15"/>
      <c r="B76" s="156"/>
      <c r="C76" s="156"/>
      <c r="D76" s="156"/>
      <c r="E76" s="156"/>
      <c r="F76" s="156"/>
      <c r="G76" s="159"/>
      <c r="H76" s="64"/>
      <c r="I76" s="62"/>
      <c r="J76" s="62"/>
      <c r="K76" s="7"/>
      <c r="L76" s="13"/>
      <c r="M76" s="147"/>
      <c r="N76" s="6"/>
      <c r="O76" s="6"/>
      <c r="P76" s="6"/>
      <c r="Q76" s="6"/>
      <c r="R76" s="6"/>
      <c r="S76" s="6"/>
      <c r="T76" s="6"/>
      <c r="U76" s="6"/>
      <c r="V76" s="6"/>
      <c r="W76" s="6"/>
      <c r="X76" s="6"/>
      <c r="Y76" s="6"/>
      <c r="Z76" s="6"/>
    </row>
    <row r="77">
      <c r="A77" s="15"/>
      <c r="B77" s="156"/>
      <c r="C77" s="156"/>
      <c r="D77" s="156"/>
      <c r="E77" s="156"/>
      <c r="F77" s="156"/>
      <c r="G77" s="159"/>
      <c r="H77" s="64"/>
      <c r="I77" s="62"/>
      <c r="J77" s="62"/>
      <c r="K77" s="7"/>
      <c r="L77" s="13"/>
      <c r="M77" s="147"/>
      <c r="N77" s="6"/>
      <c r="O77" s="6"/>
      <c r="P77" s="6"/>
      <c r="Q77" s="6"/>
      <c r="R77" s="6"/>
      <c r="S77" s="6"/>
      <c r="T77" s="6"/>
      <c r="U77" s="6"/>
      <c r="V77" s="6"/>
      <c r="W77" s="6"/>
      <c r="X77" s="6"/>
      <c r="Y77" s="6"/>
      <c r="Z77" s="6"/>
    </row>
    <row r="78">
      <c r="A78" s="15"/>
      <c r="B78" s="156"/>
      <c r="C78" s="156"/>
      <c r="D78" s="156"/>
      <c r="E78" s="156"/>
      <c r="F78" s="156"/>
      <c r="G78" s="159"/>
      <c r="H78" s="64"/>
      <c r="I78" s="62"/>
      <c r="J78" s="62"/>
      <c r="K78" s="7"/>
      <c r="L78" s="13"/>
      <c r="M78" s="147"/>
      <c r="N78" s="6"/>
      <c r="O78" s="6"/>
      <c r="P78" s="6"/>
      <c r="Q78" s="6"/>
      <c r="R78" s="6"/>
      <c r="S78" s="6"/>
      <c r="T78" s="6"/>
      <c r="U78" s="6"/>
      <c r="V78" s="6"/>
      <c r="W78" s="6"/>
      <c r="X78" s="6"/>
      <c r="Y78" s="6"/>
      <c r="Z78" s="6"/>
    </row>
    <row r="79">
      <c r="A79" s="15"/>
      <c r="B79" s="156"/>
      <c r="C79" s="156"/>
      <c r="D79" s="156"/>
      <c r="E79" s="156"/>
      <c r="F79" s="156"/>
      <c r="G79" s="159"/>
      <c r="H79" s="64"/>
      <c r="I79" s="62"/>
      <c r="J79" s="62"/>
      <c r="K79" s="7"/>
      <c r="L79" s="13"/>
      <c r="M79" s="147"/>
      <c r="N79" s="6"/>
      <c r="O79" s="6"/>
      <c r="P79" s="6"/>
      <c r="Q79" s="6"/>
      <c r="R79" s="6"/>
      <c r="S79" s="6"/>
      <c r="T79" s="6"/>
      <c r="U79" s="6"/>
      <c r="V79" s="6"/>
      <c r="W79" s="6"/>
      <c r="X79" s="6"/>
      <c r="Y79" s="6"/>
      <c r="Z79" s="6"/>
    </row>
    <row r="80">
      <c r="A80" s="15"/>
      <c r="B80" s="156"/>
      <c r="C80" s="156"/>
      <c r="D80" s="156"/>
      <c r="E80" s="156"/>
      <c r="F80" s="156"/>
      <c r="G80" s="159"/>
      <c r="H80" s="64"/>
      <c r="I80" s="62"/>
      <c r="J80" s="62"/>
      <c r="K80" s="7"/>
      <c r="L80" s="13"/>
      <c r="M80" s="147"/>
      <c r="N80" s="6"/>
      <c r="O80" s="6"/>
      <c r="P80" s="6"/>
      <c r="Q80" s="6"/>
      <c r="R80" s="6"/>
      <c r="S80" s="6"/>
      <c r="T80" s="6"/>
      <c r="U80" s="6"/>
      <c r="V80" s="6"/>
      <c r="W80" s="6"/>
      <c r="X80" s="6"/>
      <c r="Y80" s="6"/>
      <c r="Z80" s="6"/>
    </row>
    <row r="81">
      <c r="A81" s="15"/>
      <c r="B81" s="156"/>
      <c r="C81" s="156"/>
      <c r="D81" s="156"/>
      <c r="E81" s="156"/>
      <c r="F81" s="156"/>
      <c r="G81" s="159"/>
      <c r="H81" s="64"/>
      <c r="I81" s="62"/>
      <c r="J81" s="62"/>
      <c r="K81" s="7"/>
      <c r="L81" s="13"/>
      <c r="M81" s="147"/>
      <c r="N81" s="6"/>
      <c r="O81" s="6"/>
      <c r="P81" s="6"/>
      <c r="Q81" s="6"/>
      <c r="R81" s="6"/>
      <c r="S81" s="6"/>
      <c r="T81" s="6"/>
      <c r="U81" s="6"/>
      <c r="V81" s="6"/>
      <c r="W81" s="6"/>
      <c r="X81" s="6"/>
      <c r="Y81" s="6"/>
      <c r="Z81" s="6"/>
    </row>
    <row r="82">
      <c r="A82" s="15"/>
      <c r="B82" s="156"/>
      <c r="C82" s="156"/>
      <c r="D82" s="156"/>
      <c r="E82" s="156"/>
      <c r="F82" s="156"/>
      <c r="G82" s="159"/>
      <c r="H82" s="64"/>
      <c r="I82" s="62"/>
      <c r="J82" s="62"/>
      <c r="K82" s="7"/>
      <c r="L82" s="13"/>
      <c r="M82" s="147"/>
      <c r="N82" s="6"/>
      <c r="O82" s="6"/>
      <c r="P82" s="6"/>
      <c r="Q82" s="6"/>
      <c r="R82" s="6"/>
      <c r="S82" s="6"/>
      <c r="T82" s="6"/>
      <c r="U82" s="6"/>
      <c r="V82" s="6"/>
      <c r="W82" s="6"/>
      <c r="X82" s="6"/>
      <c r="Y82" s="6"/>
      <c r="Z82" s="6"/>
    </row>
    <row r="83">
      <c r="A83" s="15"/>
      <c r="B83" s="156"/>
      <c r="C83" s="156"/>
      <c r="D83" s="156"/>
      <c r="E83" s="156"/>
      <c r="F83" s="156"/>
      <c r="G83" s="159"/>
      <c r="H83" s="64"/>
      <c r="I83" s="62"/>
      <c r="J83" s="62"/>
      <c r="K83" s="7"/>
      <c r="L83" s="13"/>
      <c r="M83" s="147"/>
      <c r="N83" s="6"/>
      <c r="O83" s="6"/>
      <c r="P83" s="6"/>
      <c r="Q83" s="6"/>
      <c r="R83" s="6"/>
      <c r="S83" s="6"/>
      <c r="T83" s="6"/>
      <c r="U83" s="6"/>
      <c r="V83" s="6"/>
      <c r="W83" s="6"/>
      <c r="X83" s="6"/>
      <c r="Y83" s="6"/>
      <c r="Z83" s="6"/>
    </row>
    <row r="84">
      <c r="A84" s="15"/>
      <c r="B84" s="156"/>
      <c r="C84" s="156"/>
      <c r="D84" s="156"/>
      <c r="E84" s="156"/>
      <c r="F84" s="156"/>
      <c r="G84" s="159"/>
      <c r="H84" s="64"/>
      <c r="I84" s="62"/>
      <c r="J84" s="62"/>
      <c r="K84" s="155"/>
      <c r="L84" s="13"/>
      <c r="M84" s="147"/>
      <c r="N84" s="6"/>
      <c r="O84" s="6"/>
      <c r="P84" s="6"/>
      <c r="Q84" s="6"/>
      <c r="R84" s="6"/>
      <c r="S84" s="6"/>
      <c r="T84" s="6"/>
      <c r="U84" s="6"/>
      <c r="V84" s="6"/>
      <c r="W84" s="6"/>
      <c r="X84" s="6"/>
      <c r="Y84" s="6"/>
      <c r="Z84" s="6"/>
    </row>
    <row r="85">
      <c r="A85" s="15"/>
      <c r="B85" s="154"/>
      <c r="C85" s="154"/>
      <c r="D85" s="154"/>
      <c r="E85" s="154"/>
      <c r="F85" s="154"/>
      <c r="G85" s="159"/>
      <c r="H85" s="91"/>
      <c r="I85" s="62"/>
      <c r="J85" s="62"/>
      <c r="K85" s="7"/>
      <c r="L85" s="13"/>
      <c r="M85" s="160"/>
      <c r="N85" s="6"/>
      <c r="O85" s="6"/>
      <c r="P85" s="6"/>
      <c r="Q85" s="6"/>
      <c r="R85" s="6"/>
      <c r="S85" s="6"/>
      <c r="T85" s="6"/>
      <c r="U85" s="6"/>
      <c r="V85" s="6"/>
      <c r="W85" s="6"/>
      <c r="X85" s="6"/>
      <c r="Y85" s="6"/>
      <c r="Z85" s="6"/>
    </row>
    <row r="86">
      <c r="A86" s="15"/>
      <c r="B86" s="154"/>
      <c r="C86" s="154"/>
      <c r="D86" s="154"/>
      <c r="E86" s="154"/>
      <c r="F86" s="154"/>
      <c r="G86" s="159"/>
      <c r="H86" s="91"/>
      <c r="I86" s="62"/>
      <c r="J86" s="62"/>
      <c r="K86" s="7"/>
      <c r="L86" s="13"/>
      <c r="M86" s="161"/>
      <c r="N86" s="6"/>
      <c r="O86" s="6"/>
      <c r="P86" s="6"/>
      <c r="Q86" s="6"/>
      <c r="R86" s="6"/>
      <c r="S86" s="6"/>
      <c r="T86" s="6"/>
      <c r="U86" s="6"/>
      <c r="V86" s="6"/>
      <c r="W86" s="6"/>
      <c r="X86" s="6"/>
      <c r="Y86" s="6"/>
      <c r="Z86" s="6"/>
    </row>
    <row r="87">
      <c r="A87" s="15"/>
      <c r="B87" s="156"/>
      <c r="C87" s="156"/>
      <c r="D87" s="156"/>
      <c r="E87" s="156"/>
      <c r="F87" s="156"/>
      <c r="G87" s="159"/>
      <c r="H87" s="64"/>
      <c r="I87" s="62"/>
      <c r="J87" s="62"/>
      <c r="K87" s="7"/>
      <c r="L87" s="13"/>
      <c r="M87" s="147"/>
      <c r="N87" s="6"/>
      <c r="O87" s="6"/>
      <c r="P87" s="6"/>
      <c r="Q87" s="6"/>
      <c r="R87" s="6"/>
      <c r="S87" s="6"/>
      <c r="T87" s="6"/>
      <c r="U87" s="6"/>
      <c r="V87" s="6"/>
      <c r="W87" s="6"/>
      <c r="X87" s="6"/>
      <c r="Y87" s="6"/>
      <c r="Z87" s="6"/>
    </row>
    <row r="88">
      <c r="A88" s="15"/>
      <c r="B88" s="156"/>
      <c r="C88" s="156"/>
      <c r="D88" s="156"/>
      <c r="E88" s="156"/>
      <c r="F88" s="156"/>
      <c r="G88" s="159"/>
      <c r="H88" s="91"/>
      <c r="I88" s="91"/>
      <c r="J88" s="62"/>
      <c r="K88" s="7"/>
      <c r="L88" s="13"/>
      <c r="M88" s="160"/>
      <c r="N88" s="6"/>
      <c r="O88" s="6"/>
      <c r="P88" s="6"/>
      <c r="Q88" s="6"/>
      <c r="R88" s="6"/>
      <c r="S88" s="6"/>
      <c r="T88" s="6"/>
      <c r="U88" s="6"/>
      <c r="V88" s="6"/>
      <c r="W88" s="6"/>
      <c r="X88" s="6"/>
      <c r="Y88" s="6"/>
      <c r="Z88" s="6"/>
    </row>
    <row r="89">
      <c r="A89" s="15"/>
      <c r="B89" s="156"/>
      <c r="C89" s="156"/>
      <c r="D89" s="156"/>
      <c r="E89" s="156"/>
      <c r="F89" s="156"/>
      <c r="G89" s="159"/>
      <c r="H89" s="64"/>
      <c r="I89" s="62"/>
      <c r="J89" s="62"/>
      <c r="K89" s="7"/>
      <c r="L89" s="13"/>
      <c r="M89" s="147"/>
      <c r="N89" s="6"/>
      <c r="O89" s="6"/>
      <c r="P89" s="6"/>
      <c r="Q89" s="6"/>
      <c r="R89" s="6"/>
      <c r="S89" s="6"/>
      <c r="T89" s="6"/>
      <c r="U89" s="6"/>
      <c r="V89" s="6"/>
      <c r="W89" s="6"/>
      <c r="X89" s="6"/>
      <c r="Y89" s="6"/>
      <c r="Z89" s="6"/>
    </row>
    <row r="90">
      <c r="A90" s="15"/>
      <c r="B90" s="156"/>
      <c r="C90" s="156"/>
      <c r="D90" s="156"/>
      <c r="E90" s="156"/>
      <c r="F90" s="156"/>
      <c r="G90" s="159"/>
      <c r="H90" s="64"/>
      <c r="I90" s="62"/>
      <c r="J90" s="62"/>
      <c r="K90" s="7"/>
      <c r="L90" s="13"/>
      <c r="M90" s="147"/>
      <c r="N90" s="6"/>
      <c r="O90" s="6"/>
      <c r="P90" s="6"/>
      <c r="Q90" s="6"/>
      <c r="R90" s="6"/>
      <c r="S90" s="6"/>
      <c r="T90" s="6"/>
      <c r="U90" s="6"/>
      <c r="V90" s="6"/>
      <c r="W90" s="6"/>
      <c r="X90" s="6"/>
      <c r="Y90" s="6"/>
      <c r="Z90" s="6"/>
    </row>
    <row r="91">
      <c r="A91" s="15"/>
      <c r="B91" s="156"/>
      <c r="C91" s="156"/>
      <c r="D91" s="156"/>
      <c r="E91" s="156"/>
      <c r="F91" s="156"/>
      <c r="G91" s="159"/>
      <c r="H91" s="64"/>
      <c r="I91" s="62"/>
      <c r="J91" s="62"/>
      <c r="K91" s="7"/>
      <c r="L91" s="13"/>
      <c r="M91" s="147"/>
      <c r="N91" s="6"/>
      <c r="O91" s="6"/>
      <c r="P91" s="6"/>
      <c r="Q91" s="6"/>
      <c r="R91" s="6"/>
      <c r="S91" s="6"/>
      <c r="T91" s="6"/>
      <c r="U91" s="6"/>
      <c r="V91" s="6"/>
      <c r="W91" s="6"/>
      <c r="X91" s="6"/>
      <c r="Y91" s="6"/>
      <c r="Z91" s="6"/>
    </row>
    <row r="92">
      <c r="A92" s="15"/>
      <c r="B92" s="156"/>
      <c r="C92" s="156"/>
      <c r="D92" s="156"/>
      <c r="E92" s="156"/>
      <c r="F92" s="156"/>
      <c r="G92" s="159"/>
      <c r="H92" s="163"/>
      <c r="I92" s="164"/>
      <c r="J92" s="165"/>
      <c r="K92" s="7"/>
      <c r="L92" s="13"/>
      <c r="M92" s="166"/>
      <c r="N92" s="6"/>
      <c r="O92" s="6"/>
      <c r="P92" s="6"/>
      <c r="Q92" s="6"/>
      <c r="R92" s="6"/>
      <c r="S92" s="6"/>
      <c r="T92" s="6"/>
      <c r="U92" s="6"/>
      <c r="V92" s="6"/>
      <c r="W92" s="6"/>
      <c r="X92" s="6"/>
      <c r="Y92" s="6"/>
      <c r="Z92" s="6"/>
    </row>
    <row r="93">
      <c r="A93" s="15"/>
      <c r="B93" s="156"/>
      <c r="C93" s="156"/>
      <c r="D93" s="156"/>
      <c r="E93" s="156"/>
      <c r="F93" s="156"/>
      <c r="G93" s="159"/>
      <c r="H93" s="91"/>
      <c r="I93" s="91"/>
      <c r="J93" s="62"/>
      <c r="K93" s="7"/>
      <c r="L93" s="13"/>
      <c r="M93" s="160"/>
      <c r="N93" s="6"/>
      <c r="O93" s="6"/>
      <c r="P93" s="6"/>
      <c r="Q93" s="6"/>
      <c r="R93" s="6"/>
      <c r="S93" s="6"/>
      <c r="T93" s="6"/>
      <c r="U93" s="6"/>
      <c r="V93" s="6"/>
      <c r="W93" s="6"/>
      <c r="X93" s="6"/>
      <c r="Y93" s="6"/>
      <c r="Z93" s="6"/>
    </row>
    <row r="94">
      <c r="A94" s="15"/>
      <c r="B94" s="154"/>
      <c r="C94" s="154"/>
      <c r="D94" s="154"/>
      <c r="E94" s="154"/>
      <c r="F94" s="154"/>
      <c r="G94" s="159"/>
      <c r="H94" s="91"/>
      <c r="I94" s="62"/>
      <c r="J94" s="62"/>
      <c r="K94" s="155"/>
      <c r="L94" s="13"/>
      <c r="M94" s="161"/>
      <c r="N94" s="6"/>
      <c r="O94" s="6"/>
      <c r="P94" s="6"/>
      <c r="Q94" s="6"/>
      <c r="R94" s="6"/>
      <c r="S94" s="6"/>
      <c r="T94" s="6"/>
      <c r="U94" s="6"/>
      <c r="V94" s="6"/>
      <c r="W94" s="6"/>
      <c r="X94" s="6"/>
      <c r="Y94" s="6"/>
      <c r="Z94" s="6"/>
    </row>
    <row r="95">
      <c r="A95" s="15"/>
      <c r="B95" s="156"/>
      <c r="C95" s="156"/>
      <c r="D95" s="156"/>
      <c r="E95" s="156"/>
      <c r="F95" s="156"/>
      <c r="G95" s="159"/>
      <c r="H95" s="64"/>
      <c r="I95" s="62"/>
      <c r="J95" s="62"/>
      <c r="K95" s="7"/>
      <c r="L95" s="13"/>
      <c r="M95" s="147"/>
      <c r="N95" s="6"/>
      <c r="O95" s="6"/>
      <c r="P95" s="6"/>
      <c r="Q95" s="6"/>
      <c r="R95" s="6"/>
      <c r="S95" s="6"/>
      <c r="T95" s="6"/>
      <c r="U95" s="6"/>
      <c r="V95" s="6"/>
      <c r="W95" s="6"/>
      <c r="X95" s="6"/>
      <c r="Y95" s="6"/>
      <c r="Z95" s="6"/>
    </row>
    <row r="96">
      <c r="A96" s="15"/>
      <c r="B96" s="156"/>
      <c r="C96" s="156"/>
      <c r="D96" s="156"/>
      <c r="E96" s="156"/>
      <c r="F96" s="156"/>
      <c r="G96" s="159"/>
      <c r="H96" s="64"/>
      <c r="I96" s="62"/>
      <c r="J96" s="62"/>
      <c r="K96" s="7"/>
      <c r="L96" s="13"/>
      <c r="M96" s="147"/>
      <c r="N96" s="6"/>
      <c r="O96" s="6"/>
      <c r="P96" s="6"/>
      <c r="Q96" s="6"/>
      <c r="R96" s="6"/>
      <c r="S96" s="6"/>
      <c r="T96" s="6"/>
      <c r="U96" s="6"/>
      <c r="V96" s="6"/>
      <c r="W96" s="6"/>
      <c r="X96" s="6"/>
      <c r="Y96" s="6"/>
      <c r="Z96" s="6"/>
    </row>
    <row r="97">
      <c r="A97" s="15"/>
      <c r="B97" s="156"/>
      <c r="C97" s="156"/>
      <c r="D97" s="156"/>
      <c r="E97" s="156"/>
      <c r="F97" s="156"/>
      <c r="G97" s="159"/>
      <c r="H97" s="64"/>
      <c r="I97" s="62"/>
      <c r="J97" s="62"/>
      <c r="K97" s="7"/>
      <c r="L97" s="13"/>
      <c r="M97" s="147"/>
      <c r="N97" s="6"/>
      <c r="O97" s="6"/>
      <c r="P97" s="6"/>
      <c r="Q97" s="6"/>
      <c r="R97" s="6"/>
      <c r="S97" s="6"/>
      <c r="T97" s="6"/>
      <c r="U97" s="6"/>
      <c r="V97" s="6"/>
      <c r="W97" s="6"/>
      <c r="X97" s="6"/>
      <c r="Y97" s="6"/>
      <c r="Z97" s="6"/>
    </row>
    <row r="98">
      <c r="A98" s="15"/>
      <c r="B98" s="156"/>
      <c r="C98" s="156"/>
      <c r="D98" s="156"/>
      <c r="E98" s="156"/>
      <c r="F98" s="156"/>
      <c r="G98" s="159"/>
      <c r="H98" s="64"/>
      <c r="I98" s="62"/>
      <c r="J98" s="62"/>
      <c r="K98" s="7"/>
      <c r="L98" s="13"/>
      <c r="M98" s="147"/>
      <c r="N98" s="6"/>
      <c r="O98" s="6"/>
      <c r="P98" s="6"/>
      <c r="Q98" s="6"/>
      <c r="R98" s="6"/>
      <c r="S98" s="6"/>
      <c r="T98" s="6"/>
      <c r="U98" s="6"/>
      <c r="V98" s="6"/>
      <c r="W98" s="6"/>
      <c r="X98" s="6"/>
      <c r="Y98" s="6"/>
      <c r="Z98" s="6"/>
    </row>
    <row r="99">
      <c r="A99" s="15"/>
      <c r="B99" s="156"/>
      <c r="C99" s="156"/>
      <c r="D99" s="156"/>
      <c r="E99" s="156"/>
      <c r="F99" s="156"/>
      <c r="G99" s="159"/>
      <c r="H99" s="64"/>
      <c r="I99" s="62"/>
      <c r="J99" s="62"/>
      <c r="K99" s="7"/>
      <c r="L99" s="13"/>
      <c r="M99" s="147"/>
      <c r="N99" s="6"/>
      <c r="O99" s="6"/>
      <c r="P99" s="6"/>
      <c r="Q99" s="6"/>
      <c r="R99" s="6"/>
      <c r="S99" s="6"/>
      <c r="T99" s="6"/>
      <c r="U99" s="6"/>
      <c r="V99" s="6"/>
      <c r="W99" s="6"/>
      <c r="X99" s="6"/>
      <c r="Y99" s="6"/>
      <c r="Z99" s="6"/>
    </row>
    <row r="100">
      <c r="A100" s="15"/>
      <c r="B100" s="156"/>
      <c r="C100" s="156"/>
      <c r="D100" s="156"/>
      <c r="E100" s="156"/>
      <c r="F100" s="156"/>
      <c r="G100" s="159"/>
      <c r="H100" s="91"/>
      <c r="I100" s="62"/>
      <c r="J100" s="62"/>
      <c r="K100" s="7"/>
      <c r="L100" s="13"/>
      <c r="M100" s="160"/>
      <c r="N100" s="6"/>
      <c r="O100" s="6"/>
      <c r="P100" s="6"/>
      <c r="Q100" s="6"/>
      <c r="R100" s="6"/>
      <c r="S100" s="6"/>
      <c r="T100" s="6"/>
      <c r="U100" s="6"/>
      <c r="V100" s="6"/>
      <c r="W100" s="6"/>
      <c r="X100" s="6"/>
      <c r="Y100" s="6"/>
      <c r="Z100" s="6"/>
    </row>
    <row r="101">
      <c r="A101" s="15"/>
      <c r="B101" s="156"/>
      <c r="C101" s="156"/>
      <c r="D101" s="156"/>
      <c r="E101" s="156"/>
      <c r="F101" s="156"/>
      <c r="G101" s="159"/>
      <c r="H101" s="64"/>
      <c r="I101" s="62"/>
      <c r="J101" s="62"/>
      <c r="K101" s="7"/>
      <c r="L101" s="13"/>
      <c r="M101" s="147"/>
      <c r="N101" s="6"/>
      <c r="O101" s="6"/>
      <c r="P101" s="6"/>
      <c r="Q101" s="6"/>
      <c r="R101" s="6"/>
      <c r="S101" s="6"/>
      <c r="T101" s="6"/>
      <c r="U101" s="6"/>
      <c r="V101" s="6"/>
      <c r="W101" s="6"/>
      <c r="X101" s="6"/>
      <c r="Y101" s="6"/>
      <c r="Z101" s="6"/>
    </row>
    <row r="102">
      <c r="A102" s="15"/>
      <c r="B102" s="156"/>
      <c r="C102" s="156"/>
      <c r="D102" s="156"/>
      <c r="E102" s="156"/>
      <c r="F102" s="156"/>
      <c r="G102" s="159"/>
      <c r="H102" s="64"/>
      <c r="I102" s="62"/>
      <c r="J102" s="62"/>
      <c r="K102" s="7"/>
      <c r="L102" s="13"/>
      <c r="M102" s="147"/>
      <c r="N102" s="6"/>
      <c r="O102" s="6"/>
      <c r="P102" s="6"/>
      <c r="Q102" s="6"/>
      <c r="R102" s="6"/>
      <c r="S102" s="6"/>
      <c r="T102" s="6"/>
      <c r="U102" s="6"/>
      <c r="V102" s="6"/>
      <c r="W102" s="6"/>
      <c r="X102" s="6"/>
      <c r="Y102" s="6"/>
      <c r="Z102" s="6"/>
    </row>
    <row r="103">
      <c r="A103" s="15"/>
      <c r="B103" s="154"/>
      <c r="C103" s="154"/>
      <c r="D103" s="154"/>
      <c r="E103" s="154"/>
      <c r="F103" s="154"/>
      <c r="G103" s="159"/>
      <c r="H103" s="91"/>
      <c r="I103" s="62"/>
      <c r="J103" s="62"/>
      <c r="K103" s="7"/>
      <c r="L103" s="13"/>
      <c r="M103" s="161"/>
      <c r="N103" s="6"/>
      <c r="O103" s="6"/>
      <c r="P103" s="6"/>
      <c r="Q103" s="6"/>
      <c r="R103" s="6"/>
      <c r="S103" s="6"/>
      <c r="T103" s="6"/>
      <c r="U103" s="6"/>
      <c r="V103" s="6"/>
      <c r="W103" s="6"/>
      <c r="X103" s="6"/>
      <c r="Y103" s="6"/>
      <c r="Z103" s="6"/>
    </row>
    <row r="104">
      <c r="A104" s="15"/>
      <c r="B104" s="156"/>
      <c r="C104" s="156"/>
      <c r="D104" s="156"/>
      <c r="E104" s="156"/>
      <c r="F104" s="156"/>
      <c r="G104" s="159"/>
      <c r="H104" s="91"/>
      <c r="I104" s="62"/>
      <c r="J104" s="62"/>
      <c r="K104" s="7"/>
      <c r="L104" s="13"/>
      <c r="M104" s="160"/>
      <c r="N104" s="6"/>
      <c r="O104" s="6"/>
      <c r="P104" s="6"/>
      <c r="Q104" s="6"/>
      <c r="R104" s="6"/>
      <c r="S104" s="6"/>
      <c r="T104" s="6"/>
      <c r="U104" s="6"/>
      <c r="V104" s="6"/>
      <c r="W104" s="6"/>
      <c r="X104" s="6"/>
      <c r="Y104" s="6"/>
      <c r="Z104" s="6"/>
    </row>
    <row r="105">
      <c r="A105" s="15"/>
      <c r="B105" s="156"/>
      <c r="C105" s="156"/>
      <c r="D105" s="156"/>
      <c r="E105" s="156"/>
      <c r="F105" s="156"/>
      <c r="G105" s="159"/>
      <c r="H105" s="64"/>
      <c r="I105" s="62"/>
      <c r="J105" s="62"/>
      <c r="K105" s="155"/>
      <c r="L105" s="13"/>
      <c r="M105" s="147"/>
      <c r="N105" s="167"/>
      <c r="O105" s="6"/>
      <c r="P105" s="6"/>
      <c r="Q105" s="6"/>
      <c r="R105" s="6"/>
      <c r="S105" s="6"/>
      <c r="T105" s="6"/>
      <c r="U105" s="6"/>
      <c r="V105" s="6"/>
      <c r="W105" s="6"/>
      <c r="X105" s="6"/>
      <c r="Y105" s="6"/>
      <c r="Z105" s="6"/>
    </row>
    <row r="106">
      <c r="A106" s="15"/>
      <c r="B106" s="156"/>
      <c r="C106" s="156"/>
      <c r="D106" s="156"/>
      <c r="E106" s="156"/>
      <c r="F106" s="156"/>
      <c r="G106" s="159"/>
      <c r="H106" s="91"/>
      <c r="I106" s="62"/>
      <c r="J106" s="62"/>
      <c r="K106" s="155"/>
      <c r="L106" s="13"/>
      <c r="M106" s="160"/>
      <c r="N106" s="6"/>
      <c r="O106" s="6"/>
      <c r="P106" s="6"/>
      <c r="Q106" s="6"/>
      <c r="R106" s="6"/>
      <c r="S106" s="6"/>
      <c r="T106" s="6"/>
      <c r="U106" s="6"/>
      <c r="V106" s="6"/>
      <c r="W106" s="6"/>
      <c r="X106" s="6"/>
      <c r="Y106" s="6"/>
      <c r="Z106" s="6"/>
    </row>
    <row r="107">
      <c r="A107" s="15"/>
      <c r="B107" s="156"/>
      <c r="C107" s="156"/>
      <c r="D107" s="156"/>
      <c r="E107" s="156"/>
      <c r="F107" s="156"/>
      <c r="G107" s="159"/>
      <c r="H107" s="64"/>
      <c r="I107" s="62"/>
      <c r="J107" s="62"/>
      <c r="K107" s="7"/>
      <c r="L107" s="13"/>
      <c r="M107" s="147"/>
      <c r="N107" s="6"/>
      <c r="O107" s="6"/>
      <c r="P107" s="6"/>
      <c r="Q107" s="6"/>
      <c r="R107" s="6"/>
      <c r="S107" s="6"/>
      <c r="T107" s="6"/>
      <c r="U107" s="6"/>
      <c r="V107" s="6"/>
      <c r="W107" s="6"/>
      <c r="X107" s="6"/>
      <c r="Y107" s="6"/>
      <c r="Z107" s="6"/>
    </row>
    <row r="108">
      <c r="A108" s="15"/>
      <c r="B108" s="156"/>
      <c r="C108" s="156"/>
      <c r="D108" s="156"/>
      <c r="E108" s="156"/>
      <c r="F108" s="156"/>
      <c r="G108" s="159"/>
      <c r="H108" s="91"/>
      <c r="I108" s="62"/>
      <c r="J108" s="62"/>
      <c r="K108" s="155"/>
      <c r="L108" s="13"/>
      <c r="M108" s="160"/>
      <c r="N108" s="6"/>
      <c r="O108" s="6"/>
      <c r="P108" s="6"/>
      <c r="Q108" s="6"/>
      <c r="R108" s="6"/>
      <c r="S108" s="6"/>
      <c r="T108" s="6"/>
      <c r="U108" s="6"/>
      <c r="V108" s="6"/>
      <c r="W108" s="6"/>
      <c r="X108" s="6"/>
      <c r="Y108" s="6"/>
      <c r="Z108" s="6"/>
    </row>
    <row r="109">
      <c r="A109" s="15"/>
      <c r="B109" s="156"/>
      <c r="C109" s="156"/>
      <c r="D109" s="156"/>
      <c r="E109" s="156"/>
      <c r="F109" s="156"/>
      <c r="G109" s="159"/>
      <c r="H109" s="64"/>
      <c r="I109" s="62"/>
      <c r="J109" s="62"/>
      <c r="K109" s="7"/>
      <c r="L109" s="13"/>
      <c r="M109" s="147"/>
      <c r="N109" s="6"/>
      <c r="O109" s="6"/>
      <c r="P109" s="6"/>
      <c r="Q109" s="6"/>
      <c r="R109" s="6"/>
      <c r="S109" s="6"/>
      <c r="T109" s="6"/>
      <c r="U109" s="6"/>
      <c r="V109" s="6"/>
      <c r="W109" s="6"/>
      <c r="X109" s="6"/>
      <c r="Y109" s="6"/>
      <c r="Z109" s="6"/>
    </row>
    <row r="110">
      <c r="A110" s="15"/>
      <c r="B110" s="156"/>
      <c r="C110" s="156"/>
      <c r="D110" s="156"/>
      <c r="E110" s="156"/>
      <c r="F110" s="156"/>
      <c r="G110" s="159"/>
      <c r="H110" s="64"/>
      <c r="I110" s="62"/>
      <c r="J110" s="62"/>
      <c r="K110" s="7"/>
      <c r="L110" s="13"/>
      <c r="M110" s="147"/>
      <c r="N110" s="6"/>
      <c r="O110" s="6"/>
      <c r="P110" s="6"/>
      <c r="Q110" s="6"/>
      <c r="R110" s="6"/>
      <c r="S110" s="6"/>
      <c r="T110" s="6"/>
      <c r="U110" s="6"/>
      <c r="V110" s="6"/>
      <c r="W110" s="6"/>
      <c r="X110" s="6"/>
      <c r="Y110" s="6"/>
      <c r="Z110" s="6"/>
    </row>
  </sheetData>
  <conditionalFormatting sqref="A2:M110">
    <cfRule type="expression" dxfId="1" priority="1">
      <formula>$A2&gt;=3</formula>
    </cfRule>
  </conditionalFormatting>
  <conditionalFormatting sqref="A2:M110">
    <cfRule type="cellIs" dxfId="3" priority="2" operator="lessThan">
      <formula>3</formula>
    </cfRule>
  </conditionalFormatting>
  <dataValidations>
    <dataValidation type="list" allowBlank="1" showErrorMessage="1" sqref="B2:F110">
      <formula1>"0,0,5,1"</formula1>
    </dataValidation>
  </dataValidations>
  <hyperlinks>
    <hyperlink r:id="rId1" ref="M2"/>
    <hyperlink r:id="rId2" ref="M3"/>
    <hyperlink r:id="rId3" ref="M4"/>
    <hyperlink r:id="rId4" ref="M5"/>
    <hyperlink r:id="rId5" ref="M6"/>
    <hyperlink r:id="rId6" ref="M7"/>
    <hyperlink r:id="rId7" ref="M8"/>
    <hyperlink r:id="rId8" ref="M9"/>
    <hyperlink r:id="rId9" ref="M10"/>
  </hyperlinks>
  <drawing r:id="rId10"/>
</worksheet>
</file>